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_generated" sheetId="3" state="hidden" r:id="rId3"/>
  </sheets>
  <definedNames>
    <definedName name="_xlnm._FilterDatabase" localSheetId="0" hidden="1">'tracker'!$A$1:$T$51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24" customWidth="1" min="4" max="4"/>
    <col width="30" customWidth="1" min="5" max="5"/>
    <col width="24" customWidth="1" min="6" max="6"/>
    <col width="12" customWidth="1" min="7" max="7"/>
    <col width="9" customWidth="1" min="8" max="8"/>
    <col width="15" customWidth="1" min="9" max="9"/>
    <col width="40" customWidth="1" min="10" max="10"/>
    <col width="34" customWidth="1" min="11" max="11"/>
    <col width="11" customWidth="1" min="12" max="12"/>
    <col width="36" customWidth="1" min="13" max="13"/>
    <col width="9" customWidth="1" min="14" max="14"/>
    <col width="13" customWidth="1" min="15" max="15"/>
    <col width="9" customWidth="1" min="16" max="16"/>
    <col width="9" customWidth="1" min="17" max="17"/>
    <col width="15" customWidth="1" min="18" max="18"/>
    <col width="10" customWidth="1" min="19" max="19"/>
    <col width="60" customWidth="1" min="20" max="20"/>
  </cols>
  <sheetData>
    <row r="1">
      <c r="A1" s="1" t="inlineStr">
        <is>
          <t>PD id</t>
        </is>
      </c>
      <c r="B1" s="1" t="inlineStr">
        <is>
          <t>Role</t>
        </is>
      </c>
      <c r="C1" s="1" t="inlineStr">
        <is>
          <t>Cohort</t>
        </is>
      </c>
      <c r="D1" s="1" t="inlineStr">
        <is>
          <t>Why tracked</t>
        </is>
      </c>
      <c r="E1" s="1" t="inlineStr">
        <is>
          <t>TP53 on tree</t>
        </is>
      </c>
      <c r="F1" s="1" t="inlineStr">
        <is>
          <t>Run unit (analysed together)</t>
        </is>
      </c>
      <c r="G1" s="1" t="inlineStr">
        <is>
          <t>Assembly</t>
        </is>
      </c>
      <c r="H1" s="1" t="inlineStr">
        <is>
          <t>Colonies</t>
        </is>
      </c>
      <c r="I1" s="1" t="inlineStr">
        <is>
          <t>Farm run</t>
        </is>
      </c>
      <c r="J1" s="1" t="inlineStr">
        <is>
          <t>Farm run dir</t>
        </is>
      </c>
      <c r="K1" s="1" t="inlineStr">
        <is>
          <t>PEAR-TREE commit</t>
        </is>
      </c>
      <c r="L1" s="1" t="inlineStr">
        <is>
          <t>Data local</t>
        </is>
      </c>
      <c r="M1" s="1" t="inlineStr">
        <is>
          <t>Results dir</t>
        </is>
      </c>
      <c r="N1" s="1" t="inlineStr">
        <is>
          <t>Somatic rows</t>
        </is>
      </c>
      <c r="O1" s="1" t="inlineStr">
        <is>
          <t>Tier B / C / D</t>
        </is>
      </c>
      <c r="P1" s="1" t="inlineStr">
        <is>
          <t>Excluded</t>
        </is>
      </c>
      <c r="Q1" s="1" t="inlineStr">
        <is>
          <t>Reviewed</t>
        </is>
      </c>
      <c r="R1" s="1" t="inlineStr">
        <is>
          <t>Review progress</t>
        </is>
      </c>
      <c r="S1" s="1" t="inlineStr">
        <is>
          <t>Review signed off</t>
        </is>
      </c>
      <c r="T1" s="1" t="inlineStr">
        <is>
          <t>Notes</t>
        </is>
      </c>
    </row>
    <row r="2">
      <c r="A2" s="2" t="inlineStr">
        <is>
          <t>PD37580</t>
        </is>
      </c>
      <c r="B2" s="2" t="inlineStr">
        <is>
          <t>PX007</t>
        </is>
      </c>
      <c r="C2" s="2" t="inlineStr">
        <is>
          <t>Mitchell 2025 Nat Genet (chemo)</t>
        </is>
      </c>
      <c r="D2" s="2" t="inlineStr">
        <is>
          <t>TP53 clade</t>
        </is>
      </c>
      <c r="E2" s="3" t="inlineStr">
        <is>
          <t>I195F+C176Y (8 col), Y234C (3), K132R (2), S241C, K120M</t>
        </is>
      </c>
      <c r="F2" s="2" t="inlineStr">
        <is>
          <t>PD37580</t>
        </is>
      </c>
      <c r="G2" s="2" t="inlineStr">
        <is>
          <t>GRCh37</t>
        </is>
      </c>
      <c r="H2" s="2" t="n">
        <v>84</v>
      </c>
      <c r="I2" s="4" t="inlineStr">
        <is>
          <t>done</t>
        </is>
      </c>
      <c r="J2" s="2" t="inlineStr">
        <is>
          <t>/lustre/scratch126/casm/teams/team273/users/jd43/hsc/PD37580/PD37580</t>
        </is>
      </c>
      <c r="K2" s="2" t="inlineStr">
        <is>
          <t>~08dbac3 (inferred, hsc-deploy 2026-10-07); report 700ecf8</t>
        </is>
      </c>
      <c r="L2" s="4" t="inlineStr">
        <is>
          <t>yes</t>
        </is>
      </c>
      <c r="M2" s="2" t="inlineStr">
        <is>
          <t>PD37580</t>
        </is>
      </c>
      <c r="N2" s="2" t="n">
        <v>20</v>
      </c>
      <c r="O2" s="2" t="inlineStr">
        <is>
          <t>1 / 2 / 17</t>
        </is>
      </c>
      <c r="P2" s="2" t="inlineStr"/>
      <c r="Q2" s="2" t="n">
        <v>20</v>
      </c>
      <c r="R2" s="4" t="inlineStr">
        <is>
          <t>complete</t>
        </is>
      </c>
      <c r="S2" s="5" t="inlineStr">
        <is>
          <t>no</t>
        </is>
      </c>
      <c r="T2" s="3" t="inlineStr">
        <is>
          <t>native GRCh37 run 2026-10-07; old-pipeline results also in ~/Documents/retrotransposons_sanger/results/PD37580</t>
        </is>
      </c>
    </row>
    <row r="3">
      <c r="A3" s="2" t="inlineStr">
        <is>
          <t>PD47703</t>
        </is>
      </c>
      <c r="B3" s="2" t="inlineStr">
        <is>
          <t>PX001</t>
        </is>
      </c>
      <c r="C3" s="2" t="inlineStr">
        <is>
          <t>Mitchell 2025 Nat Genet (chemo)</t>
        </is>
      </c>
      <c r="D3" s="2" t="inlineStr">
        <is>
          <t>TP53 clade</t>
        </is>
      </c>
      <c r="E3" s="3" t="inlineStr">
        <is>
          <t>P128fs, V274A (tree 1); V172F (tree 2)</t>
        </is>
      </c>
      <c r="F3" s="2" t="inlineStr">
        <is>
          <t>PD47703</t>
        </is>
      </c>
      <c r="G3" s="2" t="inlineStr">
        <is>
          <t>GRCh37</t>
        </is>
      </c>
      <c r="H3" s="2" t="n">
        <v>259</v>
      </c>
      <c r="I3" s="2" t="inlineStr">
        <is>
          <t>queued</t>
        </is>
      </c>
      <c r="J3" s="2" t="inlineStr">
        <is>
          <t>/lustre/scratch126/casm/teams/team273/users/jd43/hsc_foldback2/PD47703/PD47703</t>
        </is>
      </c>
      <c r="K3" s="2" t="inlineStr">
        <is>
          <t>1fcdc92 (annotate SV lift + PROVIRUS_LTR, somatic_table beta-binomial het gate); checkout f01828e (+ hsc_chain.sh, no pipeline change)</t>
        </is>
      </c>
      <c r="L3" s="5" t="inlineStr">
        <is>
          <t>no</t>
        </is>
      </c>
      <c r="M3" s="2" t="inlineStr"/>
      <c r="N3" s="2" t="inlineStr"/>
      <c r="O3" s="2" t="inlineStr"/>
      <c r="P3" s="2" t="inlineStr"/>
      <c r="Q3" s="2" t="inlineStr"/>
      <c r="R3" s="2" t="inlineStr"/>
      <c r="S3" s="5" t="inlineStr">
        <is>
          <t>no</t>
        </is>
      </c>
      <c r="T3" s="3" t="inlineStr">
        <is>
          <t>old-pipeline results only (~/Documents/retrotransposons_sanger/results/PD47703); chain-submitted 2026-10-18 (cluster/hsc_chain.sh), native GRCh37, sd 344581, cleanup 344588, stage+discover waits on ended(344578), results -&gt; /nfs/users/nfs_j/jd43/results/hsc_foldback2/PD47703</t>
        </is>
      </c>
    </row>
    <row r="4">
      <c r="A4" s="2" t="inlineStr">
        <is>
          <t>PD45534</t>
        </is>
      </c>
      <c r="B4" s="2" t="inlineStr">
        <is>
          <t>KX004</t>
        </is>
      </c>
      <c r="C4" s="2" t="inlineStr">
        <is>
          <t>Mitchell 2022 Nature (ageing)</t>
        </is>
      </c>
      <c r="D4" s="2" t="inlineStr">
        <is>
          <t>TP53 clade</t>
        </is>
      </c>
      <c r="E4" s="3" t="inlineStr">
        <is>
          <t>V157I</t>
        </is>
      </c>
      <c r="F4" s="2" t="inlineStr">
        <is>
          <t>PD45534</t>
        </is>
      </c>
      <c r="G4" s="2" t="inlineStr">
        <is>
          <t>GRCh38</t>
        </is>
      </c>
      <c r="H4" s="2" t="n">
        <v>922</v>
      </c>
      <c r="I4" s="2" t="inlineStr">
        <is>
          <t>queued</t>
        </is>
      </c>
      <c r="J4" s="2" t="inlineStr">
        <is>
          <t>/lustre/scratch126/casm/teams/team273/users/jd43/hsc_foldback2/PD45534/PD45534</t>
        </is>
      </c>
      <c r="K4" s="2" t="inlineStr">
        <is>
          <t>1fcdc92 (annotate SV lift + PROVIRUS_LTR, somatic_table beta-binomial het gate); checkout f01828e (+ hsc_chain.sh, no pipeline change)</t>
        </is>
      </c>
      <c r="L4" s="5" t="inlineStr">
        <is>
          <t>no</t>
        </is>
      </c>
      <c r="M4" s="2" t="inlineStr"/>
      <c r="N4" s="2" t="inlineStr"/>
      <c r="O4" s="2" t="inlineStr"/>
      <c r="P4" s="2" t="inlineStr"/>
      <c r="Q4" s="2" t="inlineStr"/>
      <c r="R4" s="2" t="inlineStr"/>
      <c r="S4" s="5" t="inlineStr">
        <is>
          <t>no</t>
        </is>
      </c>
      <c r="T4" s="3" t="inlineStr">
        <is>
          <t>SETTLED 2026-10-10: repopulated preferring GRCh38 -&gt; all 922 colonies GRCh38 (450 proj 2450, 472 proj 3819; old mixed file kept as colonies.tsv.bak.20261010040433). Old-pipeline results in ~/Documents/retrotransposons_sanger/results/PD45534; chain-submitted 2026-10-18 (cluster/hsc_chain.sh), native GRCh38, sd 344703, cleanup 344711, stage+discover waits on ended(344700), results -&gt; /nfs/users/nfs_j/jd43/results/hsc_foldback2/PD45534</t>
        </is>
      </c>
    </row>
    <row r="5">
      <c r="A5" s="2" t="inlineStr">
        <is>
          <t>PD45792</t>
        </is>
      </c>
      <c r="B5" s="2" t="inlineStr">
        <is>
          <t>Pair11 donor</t>
        </is>
      </c>
      <c r="C5" s="2" t="inlineStr">
        <is>
          <t>Spencer Chapman 2024 Nature (allo-HCT)</t>
        </is>
      </c>
      <c r="D5" s="2" t="inlineStr">
        <is>
          <t>TP53 clade; transplant pair</t>
        </is>
      </c>
      <c r="E5" s="3" t="inlineStr">
        <is>
          <t>R273H</t>
        </is>
      </c>
      <c r="F5" s="2" t="inlineStr">
        <is>
          <t>Pair11_PD45792_PD45793</t>
        </is>
      </c>
      <c r="G5" s="2" t="inlineStr">
        <is>
          <t>GRCh37</t>
        </is>
      </c>
      <c r="H5" s="2" t="n">
        <v>179</v>
      </c>
      <c r="I5" s="2" t="inlineStr">
        <is>
          <t>queued</t>
        </is>
      </c>
      <c r="J5" s="2" t="inlineStr">
        <is>
          <t>/lustre/scratch126/casm/teams/team273/users/jd43/hsc_foldback2/Pair11_PD45792_PD45793/Pair11_PD45792_PD45793</t>
        </is>
      </c>
      <c r="K5" s="2" t="inlineStr">
        <is>
          <t>1fcdc92 (annotate SV lift + PROVIRUS_LTR, somatic_table beta-binomial het gate); checkout f01828e (+ hsc_chain.sh, no pipeline change)</t>
        </is>
      </c>
      <c r="L5" s="5" t="inlineStr">
        <is>
          <t>no</t>
        </is>
      </c>
      <c r="M5" s="2" t="inlineStr"/>
      <c r="N5" s="2" t="inlineStr"/>
      <c r="O5" s="2" t="inlineStr"/>
      <c r="P5" s="2" t="inlineStr"/>
      <c r="Q5" s="2" t="inlineStr"/>
      <c r="R5" s="2" t="inlineStr"/>
      <c r="S5" s="5" t="inlineStr">
        <is>
          <t>no</t>
        </is>
      </c>
      <c r="T5" s="3" t="inlineStr">
        <is>
          <t>; chain-submitted 2026-10-18 (cluster/hsc_chain.sh), native GRCh37, sd 344646, cleanup 344654, stage+discover waits on ended(344642), results -&gt; /nfs/users/nfs_j/jd43/results/hsc_foldback2/Pair11_PD45792_PD45793</t>
        </is>
      </c>
    </row>
    <row r="6">
      <c r="A6" s="2" t="inlineStr">
        <is>
          <t>PD45793</t>
        </is>
      </c>
      <c r="B6" s="2" t="inlineStr">
        <is>
          <t>Pair11 recipient</t>
        </is>
      </c>
      <c r="C6" s="2" t="inlineStr">
        <is>
          <t>Spencer Chapman 2024 Nature (allo-HCT)</t>
        </is>
      </c>
      <c r="D6" s="2" t="inlineStr">
        <is>
          <t>transplant pair</t>
        </is>
      </c>
      <c r="E6" s="3" t="inlineStr"/>
      <c r="F6" s="2" t="inlineStr">
        <is>
          <t>Pair11_PD45792_PD45793</t>
        </is>
      </c>
      <c r="G6" s="2" t="inlineStr">
        <is>
          <t>GRCh37</t>
        </is>
      </c>
      <c r="H6" s="2" t="n">
        <v>146</v>
      </c>
      <c r="I6" s="2" t="inlineStr">
        <is>
          <t>queued</t>
        </is>
      </c>
      <c r="J6" s="2" t="inlineStr">
        <is>
          <t>/lustre/scratch126/casm/teams/team273/users/jd43/hsc_foldback2/Pair11_PD45792_PD45793/Pair11_PD45792_PD45793</t>
        </is>
      </c>
      <c r="K6" s="2" t="inlineStr">
        <is>
          <t>1fcdc92 (annotate SV lift + PROVIRUS_LTR, somatic_table beta-binomial het gate); checkout f01828e (+ hsc_chain.sh, no pipeline change)</t>
        </is>
      </c>
      <c r="L6" s="5" t="inlineStr">
        <is>
          <t>no</t>
        </is>
      </c>
      <c r="M6" s="2" t="inlineStr"/>
      <c r="N6" s="2" t="inlineStr"/>
      <c r="O6" s="2" t="inlineStr"/>
      <c r="P6" s="2" t="inlineStr"/>
      <c r="Q6" s="2" t="inlineStr"/>
      <c r="R6" s="2" t="inlineStr"/>
      <c r="S6" s="5" t="inlineStr">
        <is>
          <t>no</t>
        </is>
      </c>
      <c r="T6" s="3" t="inlineStr">
        <is>
          <t>; chain-submitted 2026-10-18 (cluster/hsc_chain.sh), native GRCh37, sd 344646, cleanup 344654, stage+discover waits on ended(344642), results -&gt; /nfs/users/nfs_j/jd43/results/hsc_foldback2/Pair11_PD45792_PD45793</t>
        </is>
      </c>
    </row>
    <row r="7">
      <c r="A7" s="2" t="inlineStr">
        <is>
          <t>PD45794</t>
        </is>
      </c>
      <c r="B7" s="2" t="inlineStr">
        <is>
          <t>Pair13 donor</t>
        </is>
      </c>
      <c r="C7" s="2" t="inlineStr">
        <is>
          <t>Spencer Chapman 2024 Nature (allo-HCT)</t>
        </is>
      </c>
      <c r="D7" s="2" t="inlineStr">
        <is>
          <t>TP53 clade; transplant pair</t>
        </is>
      </c>
      <c r="E7" s="3" t="inlineStr">
        <is>
          <t>R158H</t>
        </is>
      </c>
      <c r="F7" s="2" t="inlineStr">
        <is>
          <t>Pair13_PD45794_PD45795</t>
        </is>
      </c>
      <c r="G7" s="2" t="inlineStr">
        <is>
          <t>GRCh37</t>
        </is>
      </c>
      <c r="H7" s="2" t="n">
        <v>104</v>
      </c>
      <c r="I7" s="2" t="inlineStr">
        <is>
          <t>queued</t>
        </is>
      </c>
      <c r="J7" s="2" t="inlineStr">
        <is>
          <t>/lustre/scratch126/casm/teams/team273/users/jd43/hsc_foldback2/Pair13_PD45794_PD45795/Pair13_PD45794_PD45795</t>
        </is>
      </c>
      <c r="K7" s="2" t="inlineStr">
        <is>
          <t>1fcdc92 (annotate SV lift + PROVIRUS_LTR, somatic_table beta-binomial het gate); checkout f01828e (+ hsc_chain.sh, no pipeline change)</t>
        </is>
      </c>
      <c r="L7" s="5" t="inlineStr">
        <is>
          <t>no</t>
        </is>
      </c>
      <c r="M7" s="2" t="inlineStr"/>
      <c r="N7" s="2" t="inlineStr"/>
      <c r="O7" s="2" t="inlineStr"/>
      <c r="P7" s="2" t="inlineStr"/>
      <c r="Q7" s="2" t="inlineStr"/>
      <c r="R7" s="2" t="inlineStr"/>
      <c r="S7" s="5" t="inlineStr">
        <is>
          <t>no</t>
        </is>
      </c>
      <c r="T7" s="3" t="inlineStr">
        <is>
          <t>; chain-submitted 2026-10-18 (cluster/hsc_chain.sh), native GRCh37, sd 344632, cleanup 344642, stage+discover waits on ended(344627), results -&gt; /nfs/users/nfs_j/jd43/results/hsc_foldback2/Pair13_PD45794_PD45795</t>
        </is>
      </c>
    </row>
    <row r="8">
      <c r="A8" s="2" t="inlineStr">
        <is>
          <t>PD45795</t>
        </is>
      </c>
      <c r="B8" s="2" t="inlineStr">
        <is>
          <t>Pair13 recipient</t>
        </is>
      </c>
      <c r="C8" s="2" t="inlineStr">
        <is>
          <t>Spencer Chapman 2024 Nature (allo-HCT)</t>
        </is>
      </c>
      <c r="D8" s="2" t="inlineStr">
        <is>
          <t>transplant pair</t>
        </is>
      </c>
      <c r="E8" s="3" t="inlineStr"/>
      <c r="F8" s="2" t="inlineStr">
        <is>
          <t>Pair13_PD45794_PD45795</t>
        </is>
      </c>
      <c r="G8" s="2" t="inlineStr">
        <is>
          <t>GRCh37</t>
        </is>
      </c>
      <c r="H8" s="2" t="n">
        <v>194</v>
      </c>
      <c r="I8" s="2" t="inlineStr">
        <is>
          <t>queued</t>
        </is>
      </c>
      <c r="J8" s="2" t="inlineStr">
        <is>
          <t>/lustre/scratch126/casm/teams/team273/users/jd43/hsc_foldback2/Pair13_PD45794_PD45795/Pair13_PD45794_PD45795</t>
        </is>
      </c>
      <c r="K8" s="2" t="inlineStr">
        <is>
          <t>1fcdc92 (annotate SV lift + PROVIRUS_LTR, somatic_table beta-binomial het gate); checkout f01828e (+ hsc_chain.sh, no pipeline change)</t>
        </is>
      </c>
      <c r="L8" s="5" t="inlineStr">
        <is>
          <t>no</t>
        </is>
      </c>
      <c r="M8" s="2" t="inlineStr"/>
      <c r="N8" s="2" t="inlineStr"/>
      <c r="O8" s="2" t="inlineStr"/>
      <c r="P8" s="2" t="inlineStr"/>
      <c r="Q8" s="2" t="inlineStr"/>
      <c r="R8" s="2" t="inlineStr"/>
      <c r="S8" s="5" t="inlineStr">
        <is>
          <t>no</t>
        </is>
      </c>
      <c r="T8" s="3" t="inlineStr">
        <is>
          <t>; chain-submitted 2026-10-18 (cluster/hsc_chain.sh), native GRCh37, sd 344632, cleanup 344642, stage+discover waits on ended(344627), results -&gt; /nfs/users/nfs_j/jd43/results/hsc_foldback2/Pair13_PD45794_PD45795</t>
        </is>
      </c>
    </row>
    <row r="9">
      <c r="A9" s="2" t="inlineStr">
        <is>
          <t>PD45808</t>
        </is>
      </c>
      <c r="B9" s="2" t="inlineStr">
        <is>
          <t>Pair38 donor</t>
        </is>
      </c>
      <c r="C9" s="2" t="inlineStr">
        <is>
          <t>Spencer Chapman 2024 Nature (allo-HCT)</t>
        </is>
      </c>
      <c r="D9" s="2" t="inlineStr">
        <is>
          <t>transplant pair</t>
        </is>
      </c>
      <c r="E9" s="3" t="inlineStr"/>
      <c r="F9" s="2" t="inlineStr">
        <is>
          <t>Pair38_PD45808_PD45809</t>
        </is>
      </c>
      <c r="G9" s="2" t="inlineStr">
        <is>
          <t>GRCh37</t>
        </is>
      </c>
      <c r="H9" s="2" t="n">
        <v>143</v>
      </c>
      <c r="I9" s="2" t="inlineStr">
        <is>
          <t>queued</t>
        </is>
      </c>
      <c r="J9" s="2" t="inlineStr">
        <is>
          <t>/lustre/scratch126/casm/teams/team273/users/jd43/hsc_foldback2/Pair38_PD45808_PD45809/Pair38_PD45808_PD45809</t>
        </is>
      </c>
      <c r="K9" s="2" t="inlineStr">
        <is>
          <t>1fcdc92 (annotate SV lift + PROVIRUS_LTR, somatic_table beta-binomial het gate); checkout f01828e (+ hsc_chain.sh, no pipeline change)</t>
        </is>
      </c>
      <c r="L9" s="5" t="inlineStr">
        <is>
          <t>no</t>
        </is>
      </c>
      <c r="M9" s="2" t="inlineStr"/>
      <c r="N9" s="2" t="inlineStr"/>
      <c r="O9" s="2" t="inlineStr"/>
      <c r="P9" s="2" t="inlineStr"/>
      <c r="Q9" s="2" t="inlineStr"/>
      <c r="R9" s="2" t="inlineStr"/>
      <c r="S9" s="5" t="inlineStr">
        <is>
          <t>no</t>
        </is>
      </c>
      <c r="T9" s="3" t="inlineStr">
        <is>
          <t>; chain-submitted 2026-10-18 (cluster/hsc_chain.sh), native GRCh37, sd 344569, cleanup 344578, stage+discover waits on ended(344561), results -&gt; /nfs/users/nfs_j/jd43/results/hsc_foldback2/Pair38_PD45808_PD45809</t>
        </is>
      </c>
    </row>
    <row r="10">
      <c r="A10" s="2" t="inlineStr">
        <is>
          <t>PD45809</t>
        </is>
      </c>
      <c r="B10" s="2" t="inlineStr">
        <is>
          <t>Pair38 recipient</t>
        </is>
      </c>
      <c r="C10" s="2" t="inlineStr">
        <is>
          <t>Spencer Chapman 2024 Nature (allo-HCT)</t>
        </is>
      </c>
      <c r="D10" s="2" t="inlineStr">
        <is>
          <t>TP53 clade; transplant pair</t>
        </is>
      </c>
      <c r="E10" s="3" t="inlineStr">
        <is>
          <t>V272M (2 tips = duplicate pair, one clone)</t>
        </is>
      </c>
      <c r="F10" s="2" t="inlineStr">
        <is>
          <t>Pair38_PD45808_PD45809</t>
        </is>
      </c>
      <c r="G10" s="2" t="inlineStr">
        <is>
          <t>GRCh37</t>
        </is>
      </c>
      <c r="H10" s="2" t="n">
        <v>109</v>
      </c>
      <c r="I10" s="2" t="inlineStr">
        <is>
          <t>queued</t>
        </is>
      </c>
      <c r="J10" s="2" t="inlineStr">
        <is>
          <t>/lustre/scratch126/casm/teams/team273/users/jd43/hsc_foldback2/Pair38_PD45808_PD45809/Pair38_PD45808_PD45809</t>
        </is>
      </c>
      <c r="K10" s="2" t="inlineStr">
        <is>
          <t>1fcdc92 (annotate SV lift + PROVIRUS_LTR, somatic_table beta-binomial het gate); checkout f01828e (+ hsc_chain.sh, no pipeline change)</t>
        </is>
      </c>
      <c r="L10" s="5" t="inlineStr">
        <is>
          <t>no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5" t="inlineStr">
        <is>
          <t>no</t>
        </is>
      </c>
      <c r="T10" s="3" t="inlineStr">
        <is>
          <t>; chain-submitted 2026-10-18 (cluster/hsc_chain.sh), native GRCh37, sd 344569, cleanup 344578, stage+discover waits on ended(344561), results -&gt; /nfs/users/nfs_j/jd43/results/hsc_foldback2/Pair38_PD45808_PD45809</t>
        </is>
      </c>
    </row>
    <row r="11">
      <c r="A11" s="2" t="inlineStr">
        <is>
          <t>PD45810</t>
        </is>
      </c>
      <c r="B11" s="2" t="inlineStr">
        <is>
          <t>Pair40 donor</t>
        </is>
      </c>
      <c r="C11" s="2" t="inlineStr">
        <is>
          <t>Spencer Chapman 2024 Nature (allo-HCT)</t>
        </is>
      </c>
      <c r="D11" s="2" t="inlineStr">
        <is>
          <t>transplant pair</t>
        </is>
      </c>
      <c r="E11" s="3" t="inlineStr"/>
      <c r="F11" s="2" t="inlineStr">
        <is>
          <t>Pair40_PD45810_PD45811</t>
        </is>
      </c>
      <c r="G11" s="2" t="inlineStr">
        <is>
          <t>GRCh37</t>
        </is>
      </c>
      <c r="H11" s="2" t="n">
        <v>143</v>
      </c>
      <c r="I11" s="2" t="inlineStr">
        <is>
          <t>queued</t>
        </is>
      </c>
      <c r="J11" s="2" t="inlineStr">
        <is>
          <t>/lustre/scratch126/casm/teams/team273/users/jd43/hsc_foldback2/Pair40_PD45810_PD45811/Pair40_PD45810_PD45811</t>
        </is>
      </c>
      <c r="K11" s="2" t="inlineStr">
        <is>
          <t>1fcdc92 (annotate SV lift + PROVIRUS_LTR, somatic_table beta-binomial het gate); checkout f01828e (+ hsc_chain.sh, no pipeline change)</t>
        </is>
      </c>
      <c r="L11" s="5" t="inlineStr">
        <is>
          <t>no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5" t="inlineStr">
        <is>
          <t>no</t>
        </is>
      </c>
      <c r="T11" s="3" t="inlineStr">
        <is>
          <t>; chain-submitted 2026-10-18 (cluster/hsc_chain.sh), native GRCh37, sd 344592, cleanup 344598, stage+discover waits on ended(344588), results -&gt; /nfs/users/nfs_j/jd43/results/hsc_foldback2/Pair40_PD45810_PD45811</t>
        </is>
      </c>
    </row>
    <row r="12">
      <c r="A12" s="2" t="inlineStr">
        <is>
          <t>PD45811</t>
        </is>
      </c>
      <c r="B12" s="2" t="inlineStr">
        <is>
          <t>Pair40 recipient</t>
        </is>
      </c>
      <c r="C12" s="2" t="inlineStr">
        <is>
          <t>Spencer Chapman 2024 Nature (allo-HCT)</t>
        </is>
      </c>
      <c r="D12" s="2" t="inlineStr">
        <is>
          <t>TP53 clade; transplant pair</t>
        </is>
      </c>
      <c r="E12" s="3" t="inlineStr">
        <is>
          <t>N239D</t>
        </is>
      </c>
      <c r="F12" s="2" t="inlineStr">
        <is>
          <t>Pair40_PD45810_PD45811</t>
        </is>
      </c>
      <c r="G12" s="2" t="inlineStr">
        <is>
          <t>GRCh37</t>
        </is>
      </c>
      <c r="H12" s="2" t="n">
        <v>136</v>
      </c>
      <c r="I12" s="2" t="inlineStr">
        <is>
          <t>queued</t>
        </is>
      </c>
      <c r="J12" s="2" t="inlineStr">
        <is>
          <t>/lustre/scratch126/casm/teams/team273/users/jd43/hsc_foldback2/Pair40_PD45810_PD45811/Pair40_PD45810_PD45811</t>
        </is>
      </c>
      <c r="K12" s="2" t="inlineStr">
        <is>
          <t>1fcdc92 (annotate SV lift + PROVIRUS_LTR, somatic_table beta-binomial het gate); checkout f01828e (+ hsc_chain.sh, no pipeline change)</t>
        </is>
      </c>
      <c r="L12" s="5" t="inlineStr">
        <is>
          <t>no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5" t="inlineStr">
        <is>
          <t>no</t>
        </is>
      </c>
      <c r="T12" s="3" t="inlineStr">
        <is>
          <t>; chain-submitted 2026-10-18 (cluster/hsc_chain.sh), native GRCh37, sd 344592, cleanup 344598, stage+discover waits on ended(344588), results -&gt; /nfs/users/nfs_j/jd43/results/hsc_foldback2/Pair40_PD45810_PD45811</t>
        </is>
      </c>
    </row>
    <row r="13">
      <c r="A13" s="2" t="inlineStr">
        <is>
          <t>PD45798</t>
        </is>
      </c>
      <c r="B13" s="2" t="inlineStr">
        <is>
          <t>Pair21 donor</t>
        </is>
      </c>
      <c r="C13" s="2" t="inlineStr">
        <is>
          <t>Spencer Chapman 2024 Nature (allo-HCT)</t>
        </is>
      </c>
      <c r="D13" s="2" t="inlineStr">
        <is>
          <t>transplant pair</t>
        </is>
      </c>
      <c r="E13" s="3" t="inlineStr"/>
      <c r="F13" s="2" t="inlineStr">
        <is>
          <t>Pair21_PD45798_PD45799</t>
        </is>
      </c>
      <c r="G13" s="2" t="inlineStr">
        <is>
          <t>GRCh37</t>
        </is>
      </c>
      <c r="H13" s="2" t="n">
        <v>142</v>
      </c>
      <c r="I13" s="5" t="inlineStr">
        <is>
          <t>not run</t>
        </is>
      </c>
      <c r="J13" s="2" t="inlineStr"/>
      <c r="K13" s="2" t="inlineStr"/>
      <c r="L13" s="5" t="inlineStr">
        <is>
          <t>no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5" t="inlineStr">
        <is>
          <t>no</t>
        </is>
      </c>
      <c r="T13" s="3" t="inlineStr">
        <is>
          <t>published Pair_5; added 2026-10-15 (whole transplant cohort)</t>
        </is>
      </c>
    </row>
    <row r="14">
      <c r="A14" s="2" t="inlineStr">
        <is>
          <t>PD45799</t>
        </is>
      </c>
      <c r="B14" s="2" t="inlineStr">
        <is>
          <t>Pair21 recipient</t>
        </is>
      </c>
      <c r="C14" s="2" t="inlineStr">
        <is>
          <t>Spencer Chapman 2024 Nature (allo-HCT)</t>
        </is>
      </c>
      <c r="D14" s="2" t="inlineStr">
        <is>
          <t>transplant pair</t>
        </is>
      </c>
      <c r="E14" s="3" t="inlineStr"/>
      <c r="F14" s="2" t="inlineStr">
        <is>
          <t>Pair21_PD45798_PD45799</t>
        </is>
      </c>
      <c r="G14" s="2" t="inlineStr">
        <is>
          <t>GRCh37</t>
        </is>
      </c>
      <c r="H14" s="2" t="n">
        <v>195</v>
      </c>
      <c r="I14" s="5" t="inlineStr">
        <is>
          <t>not run</t>
        </is>
      </c>
      <c r="J14" s="2" t="inlineStr"/>
      <c r="K14" s="2" t="inlineStr"/>
      <c r="L14" s="5" t="inlineStr">
        <is>
          <t>no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5" t="inlineStr">
        <is>
          <t>no</t>
        </is>
      </c>
      <c r="T14" s="3" t="inlineStr">
        <is>
          <t>published Pair_5; recipient: cisplatin for lung carcinoma 3y after HSCT; added 2026-10-15 (whole transplant cohort)</t>
        </is>
      </c>
    </row>
    <row r="15">
      <c r="A15" s="2" t="inlineStr">
        <is>
          <t>PD45800</t>
        </is>
      </c>
      <c r="B15" s="2" t="inlineStr">
        <is>
          <t>Pair24 donor</t>
        </is>
      </c>
      <c r="C15" s="2" t="inlineStr">
        <is>
          <t>Spencer Chapman 2024 Nature (allo-HCT)</t>
        </is>
      </c>
      <c r="D15" s="2" t="inlineStr">
        <is>
          <t>transplant pair</t>
        </is>
      </c>
      <c r="E15" s="3" t="inlineStr"/>
      <c r="F15" s="2" t="inlineStr">
        <is>
          <t>Pair24_PD45800_PD45801</t>
        </is>
      </c>
      <c r="G15" s="2" t="inlineStr">
        <is>
          <t>GRCh37</t>
        </is>
      </c>
      <c r="H15" s="2" t="n">
        <v>163</v>
      </c>
      <c r="I15" s="5" t="inlineStr">
        <is>
          <t>not run</t>
        </is>
      </c>
      <c r="J15" s="2" t="inlineStr"/>
      <c r="K15" s="2" t="inlineStr"/>
      <c r="L15" s="5" t="inlineStr">
        <is>
          <t>no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5" t="inlineStr">
        <is>
          <t>no</t>
        </is>
      </c>
      <c r="T15" s="3" t="inlineStr">
        <is>
          <t>published Pair_1; added 2026-10-15 (whole transplant cohort)</t>
        </is>
      </c>
    </row>
    <row r="16">
      <c r="A16" s="2" t="inlineStr">
        <is>
          <t>PD45801</t>
        </is>
      </c>
      <c r="B16" s="2" t="inlineStr">
        <is>
          <t>Pair24 recipient</t>
        </is>
      </c>
      <c r="C16" s="2" t="inlineStr">
        <is>
          <t>Spencer Chapman 2024 Nature (allo-HCT)</t>
        </is>
      </c>
      <c r="D16" s="2" t="inlineStr">
        <is>
          <t>transplant pair</t>
        </is>
      </c>
      <c r="E16" s="3" t="inlineStr"/>
      <c r="F16" s="2" t="inlineStr">
        <is>
          <t>Pair24_PD45800_PD45801</t>
        </is>
      </c>
      <c r="G16" s="2" t="inlineStr">
        <is>
          <t>GRCh37</t>
        </is>
      </c>
      <c r="H16" s="2" t="n">
        <v>174</v>
      </c>
      <c r="I16" s="5" t="inlineStr">
        <is>
          <t>not run</t>
        </is>
      </c>
      <c r="J16" s="2" t="inlineStr"/>
      <c r="K16" s="2" t="inlineStr"/>
      <c r="L16" s="5" t="inlineStr">
        <is>
          <t>no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5" t="inlineStr">
        <is>
          <t>no</t>
        </is>
      </c>
      <c r="T16" s="3" t="inlineStr">
        <is>
          <t>published Pair_1; added 2026-10-15 (whole transplant cohort)</t>
        </is>
      </c>
    </row>
    <row r="17">
      <c r="A17" s="2" t="inlineStr">
        <is>
          <t>PD45802</t>
        </is>
      </c>
      <c r="B17" s="2" t="inlineStr">
        <is>
          <t>Pair25 donor</t>
        </is>
      </c>
      <c r="C17" s="2" t="inlineStr">
        <is>
          <t>Spencer Chapman 2024 Nature (allo-HCT)</t>
        </is>
      </c>
      <c r="D17" s="2" t="inlineStr">
        <is>
          <t>transplant pair</t>
        </is>
      </c>
      <c r="E17" s="3" t="inlineStr"/>
      <c r="F17" s="2" t="inlineStr">
        <is>
          <t>Pair25_PD45802_PD45803</t>
        </is>
      </c>
      <c r="G17" s="2" t="inlineStr">
        <is>
          <t>GRCh37</t>
        </is>
      </c>
      <c r="H17" s="2" t="n">
        <v>155</v>
      </c>
      <c r="I17" s="5" t="inlineStr">
        <is>
          <t>not run</t>
        </is>
      </c>
      <c r="J17" s="2" t="inlineStr"/>
      <c r="K17" s="2" t="inlineStr"/>
      <c r="L17" s="5" t="inlineStr">
        <is>
          <t>no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5" t="inlineStr">
        <is>
          <t>no</t>
        </is>
      </c>
      <c r="T17" s="3" t="inlineStr">
        <is>
          <t>published Pair_4; added 2026-10-15 (whole transplant cohort)</t>
        </is>
      </c>
    </row>
    <row r="18">
      <c r="A18" s="2" t="inlineStr">
        <is>
          <t>PD45803</t>
        </is>
      </c>
      <c r="B18" s="2" t="inlineStr">
        <is>
          <t>Pair25 recipient</t>
        </is>
      </c>
      <c r="C18" s="2" t="inlineStr">
        <is>
          <t>Spencer Chapman 2024 Nature (allo-HCT)</t>
        </is>
      </c>
      <c r="D18" s="2" t="inlineStr">
        <is>
          <t>transplant pair</t>
        </is>
      </c>
      <c r="E18" s="3" t="inlineStr"/>
      <c r="F18" s="2" t="inlineStr">
        <is>
          <t>Pair25_PD45802_PD45803</t>
        </is>
      </c>
      <c r="G18" s="2" t="inlineStr">
        <is>
          <t>GRCh37</t>
        </is>
      </c>
      <c r="H18" s="2" t="n">
        <v>188</v>
      </c>
      <c r="I18" s="5" t="inlineStr">
        <is>
          <t>not run</t>
        </is>
      </c>
      <c r="J18" s="2" t="inlineStr"/>
      <c r="K18" s="2" t="inlineStr"/>
      <c r="L18" s="5" t="inlineStr">
        <is>
          <t>no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5" t="inlineStr">
        <is>
          <t>no</t>
        </is>
      </c>
      <c r="T18" s="3" t="inlineStr">
        <is>
          <t>published Pair_4; added 2026-10-15 (whole transplant cohort)</t>
        </is>
      </c>
    </row>
    <row r="19">
      <c r="A19" s="2" t="inlineStr">
        <is>
          <t>PD45804</t>
        </is>
      </c>
      <c r="B19" s="2" t="inlineStr">
        <is>
          <t>Pair28 donor</t>
        </is>
      </c>
      <c r="C19" s="2" t="inlineStr">
        <is>
          <t>Spencer Chapman 2024 Nature (allo-HCT)</t>
        </is>
      </c>
      <c r="D19" s="2" t="inlineStr">
        <is>
          <t>transplant pair</t>
        </is>
      </c>
      <c r="E19" s="3" t="inlineStr"/>
      <c r="F19" s="2" t="inlineStr">
        <is>
          <t>Pair28_PD45804_PD45805</t>
        </is>
      </c>
      <c r="G19" s="2" t="inlineStr">
        <is>
          <t>GRCh37</t>
        </is>
      </c>
      <c r="H19" s="2" t="n">
        <v>66</v>
      </c>
      <c r="I19" s="2" t="inlineStr">
        <is>
          <t>queued</t>
        </is>
      </c>
      <c r="J19" s="2" t="inlineStr">
        <is>
          <t>/lustre/scratch126/casm/teams/team273/users/jd43/hsc_foldback2/Pair28_PD45804_PD45805/Pair28_PD45804_PD45805</t>
        </is>
      </c>
      <c r="K19" s="2" t="inlineStr">
        <is>
          <t>1fcdc92 (annotate SV lift + PROVIRUS_LTR, somatic_table beta-binomial het gate); checkout f01828e (+ hsc_chain.sh, no pipeline change)</t>
        </is>
      </c>
      <c r="L19" s="5" t="inlineStr">
        <is>
          <t>no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5" t="inlineStr">
        <is>
          <t>no</t>
        </is>
      </c>
      <c r="T19" s="3" t="inlineStr">
        <is>
          <t>published Pair_10; added 2026-10-15 (whole transplant cohort); chain-submitted 2026-10-18 (cluster/hsc_chain.sh), native GRCh37, sd 344555, cleanup 344561, stage+discover waits on ended(344552), results -&gt; /nfs/users/nfs_j/jd43/results/hsc_foldback2/Pair28_PD45804_PD45805</t>
        </is>
      </c>
    </row>
    <row r="20">
      <c r="A20" s="2" t="inlineStr">
        <is>
          <t>PD45805</t>
        </is>
      </c>
      <c r="B20" s="2" t="inlineStr">
        <is>
          <t>Pair28 recipient</t>
        </is>
      </c>
      <c r="C20" s="2" t="inlineStr">
        <is>
          <t>Spencer Chapman 2024 Nature (allo-HCT)</t>
        </is>
      </c>
      <c r="D20" s="2" t="inlineStr">
        <is>
          <t>transplant pair</t>
        </is>
      </c>
      <c r="E20" s="3" t="inlineStr"/>
      <c r="F20" s="2" t="inlineStr">
        <is>
          <t>Pair28_PD45804_PD45805</t>
        </is>
      </c>
      <c r="G20" s="2" t="inlineStr">
        <is>
          <t>GRCh37</t>
        </is>
      </c>
      <c r="H20" s="2" t="n">
        <v>174</v>
      </c>
      <c r="I20" s="2" t="inlineStr">
        <is>
          <t>queued</t>
        </is>
      </c>
      <c r="J20" s="2" t="inlineStr">
        <is>
          <t>/lustre/scratch126/casm/teams/team273/users/jd43/hsc_foldback2/Pair28_PD45804_PD45805/Pair28_PD45804_PD45805</t>
        </is>
      </c>
      <c r="K20" s="2" t="inlineStr">
        <is>
          <t>1fcdc92 (annotate SV lift + PROVIRUS_LTR, somatic_table beta-binomial het gate); checkout f01828e (+ hsc_chain.sh, no pipeline change)</t>
        </is>
      </c>
      <c r="L20" s="5" t="inlineStr">
        <is>
          <t>no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5" t="inlineStr">
        <is>
          <t>no</t>
        </is>
      </c>
      <c r="T20" s="3" t="inlineStr">
        <is>
          <t>published Pair_10; recipient is a CML patient (BCR::ABL1 pre-HSCT), Flu-Bu-ATG; added 2026-10-15 (whole transplant cohort); chain-submitted 2026-10-18 (cluster/hsc_chain.sh), native GRCh37, sd 344555, cleanup 344561, stage+discover waits on ended(344552), results -&gt; /nfs/users/nfs_j/jd43/results/hsc_foldback2/Pair28_PD45804_PD45805</t>
        </is>
      </c>
    </row>
    <row r="21">
      <c r="A21" s="2" t="inlineStr">
        <is>
          <t>PD45806</t>
        </is>
      </c>
      <c r="B21" s="2" t="inlineStr">
        <is>
          <t>Pair31 donor</t>
        </is>
      </c>
      <c r="C21" s="2" t="inlineStr">
        <is>
          <t>Spencer Chapman 2024 Nature (allo-HCT)</t>
        </is>
      </c>
      <c r="D21" s="2" t="inlineStr">
        <is>
          <t>transplant pair</t>
        </is>
      </c>
      <c r="E21" s="3" t="inlineStr"/>
      <c r="F21" s="2" t="inlineStr">
        <is>
          <t>Pair31_PD45806_PD45807</t>
        </is>
      </c>
      <c r="G21" s="2" t="inlineStr">
        <is>
          <t>GRCh37</t>
        </is>
      </c>
      <c r="H21" s="2" t="n">
        <v>67</v>
      </c>
      <c r="I21" s="2" t="inlineStr">
        <is>
          <t>queued</t>
        </is>
      </c>
      <c r="J21" s="2" t="inlineStr">
        <is>
          <t>/lustre/scratch126/casm/teams/team273/users/jd43/hsc_foldback2/Pair31_PD45806_PD45807/Pair31_PD45806_PD45807</t>
        </is>
      </c>
      <c r="K21" s="2" t="inlineStr">
        <is>
          <t>1fcdc92 (annotate SV lift + PROVIRUS_LTR, somatic_table beta-binomial het gate); checkout f01828e (+ hsc_chain.sh, no pipeline change)</t>
        </is>
      </c>
      <c r="L21" s="5" t="inlineStr">
        <is>
          <t>no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5" t="inlineStr">
        <is>
          <t>no</t>
        </is>
      </c>
      <c r="T21" s="3" t="inlineStr">
        <is>
          <t>published Pair_6; added 2026-10-15 (whole transplant cohort); chain-submitted 2026-10-18 (cluster/hsc_chain.sh), native GRCh37, sd 344542, cleanup 344552, stage+discover waits on ended(344539), results -&gt; /nfs/users/nfs_j/jd43/results/hsc_foldback2/Pair31_PD45806_PD45807; 2026-10-20: chain STALLED here -- 188/192 sd OOM at 4000 MB (peak 5.1 GB), sdr 344543 died on 'Bad job name' (long tier2 index list; fixed e0f23ac); resubmitted sdr as 6992, ci 344545 bmod'ed to done(6992); pending sd arrays of all later units bmod'ed to 8000 MB (hsc_run default now 8000, 4f9f058)</t>
        </is>
      </c>
    </row>
    <row r="22">
      <c r="A22" s="2" t="inlineStr">
        <is>
          <t>PD45807</t>
        </is>
      </c>
      <c r="B22" s="2" t="inlineStr">
        <is>
          <t>Pair31 recipient</t>
        </is>
      </c>
      <c r="C22" s="2" t="inlineStr">
        <is>
          <t>Spencer Chapman 2024 Nature (allo-HCT)</t>
        </is>
      </c>
      <c r="D22" s="2" t="inlineStr">
        <is>
          <t>transplant pair</t>
        </is>
      </c>
      <c r="E22" s="3" t="inlineStr"/>
      <c r="F22" s="2" t="inlineStr">
        <is>
          <t>Pair31_PD45806_PD45807</t>
        </is>
      </c>
      <c r="G22" s="2" t="inlineStr">
        <is>
          <t>GRCh37</t>
        </is>
      </c>
      <c r="H22" s="2" t="n">
        <v>125</v>
      </c>
      <c r="I22" s="2" t="inlineStr">
        <is>
          <t>queued</t>
        </is>
      </c>
      <c r="J22" s="2" t="inlineStr">
        <is>
          <t>/lustre/scratch126/casm/teams/team273/users/jd43/hsc_foldback2/Pair31_PD45806_PD45807/Pair31_PD45806_PD45807</t>
        </is>
      </c>
      <c r="K22" s="2" t="inlineStr">
        <is>
          <t>1fcdc92 (annotate SV lift + PROVIRUS_LTR, somatic_table beta-binomial het gate); checkout f01828e (+ hsc_chain.sh, no pipeline change)</t>
        </is>
      </c>
      <c r="L22" s="5" t="inlineStr">
        <is>
          <t>no</t>
        </is>
      </c>
      <c r="M22" s="2" t="inlineStr"/>
      <c r="N22" s="2" t="inlineStr"/>
      <c r="O22" s="2" t="inlineStr"/>
      <c r="P22" s="2" t="inlineStr"/>
      <c r="Q22" s="2" t="inlineStr"/>
      <c r="R22" s="2" t="inlineStr"/>
      <c r="S22" s="5" t="inlineStr">
        <is>
          <t>no</t>
        </is>
      </c>
      <c r="T22" s="3" t="inlineStr">
        <is>
          <t>published Pair_6; recipient: cisplatin for oesophageal cancer after HSCT; added 2026-10-15 (whole transplant cohort); chain-submitted 2026-10-18 (cluster/hsc_chain.sh), native GRCh37, sd 344542, cleanup 344552, stage+discover waits on ended(344539), results -&gt; /nfs/users/nfs_j/jd43/results/hsc_foldback2/Pair31_PD45806_PD45807; 2026-10-20: chain STALLED here -- 188/192 sd OOM at 4000 MB (peak 5.1 GB), sdr 344543 died on 'Bad job name' (long tier2 index list; fixed e0f23ac); resubmitted sdr as 6992, ci 344545 bmod'ed to done(6992); pending sd arrays of all later units bmod'ed to 8000 MB (hsc_run default now 8000, 4f9f058)</t>
        </is>
      </c>
    </row>
    <row r="23">
      <c r="A23" s="2" t="inlineStr">
        <is>
          <t>PD45812</t>
        </is>
      </c>
      <c r="B23" s="2" t="inlineStr">
        <is>
          <t>Pair41 donor</t>
        </is>
      </c>
      <c r="C23" s="2" t="inlineStr">
        <is>
          <t>Spencer Chapman 2024 Nature (allo-HCT)</t>
        </is>
      </c>
      <c r="D23" s="2" t="inlineStr">
        <is>
          <t>transplant pair</t>
        </is>
      </c>
      <c r="E23" s="3" t="inlineStr"/>
      <c r="F23" s="2" t="inlineStr">
        <is>
          <t>Pair41_PD45812_PD45813</t>
        </is>
      </c>
      <c r="G23" s="2" t="inlineStr">
        <is>
          <t>GRCh37</t>
        </is>
      </c>
      <c r="H23" s="2" t="n">
        <v>119</v>
      </c>
      <c r="I23" s="2" t="inlineStr">
        <is>
          <t>queued</t>
        </is>
      </c>
      <c r="J23" s="2" t="inlineStr">
        <is>
          <t>/lustre/scratch126/casm/teams/team273/users/jd43/hsc_foldback2/Pair41_PD45812_PD45813/Pair41_PD45812_PD45813</t>
        </is>
      </c>
      <c r="K23" s="2" t="inlineStr">
        <is>
          <t>1fcdc92 (annotate SV lift + PROVIRUS_LTR, somatic_table beta-binomial het gate); checkout f01828e (+ hsc_chain.sh, no pipeline change)</t>
        </is>
      </c>
      <c r="L23" s="5" t="inlineStr">
        <is>
          <t>no</t>
        </is>
      </c>
      <c r="M23" s="2" t="inlineStr"/>
      <c r="N23" s="2" t="inlineStr"/>
      <c r="O23" s="2" t="inlineStr"/>
      <c r="P23" s="2" t="inlineStr"/>
      <c r="Q23" s="2" t="inlineStr"/>
      <c r="R23" s="2" t="inlineStr"/>
      <c r="S23" s="5" t="inlineStr">
        <is>
          <t>no</t>
        </is>
      </c>
      <c r="T23" s="3" t="inlineStr">
        <is>
          <t>published Pair_2; added 2026-10-15 (whole transplant cohort); chain-submitted 2026-10-18 (cluster/hsc_chain.sh), native GRCh37, sd 344601, cleanup 344613, stage+discover waits on ended(344598), results -&gt; /nfs/users/nfs_j/jd43/results/hsc_foldback2/Pair41_PD45812_PD45813</t>
        </is>
      </c>
    </row>
    <row r="24">
      <c r="A24" s="2" t="inlineStr">
        <is>
          <t>PD45813</t>
        </is>
      </c>
      <c r="B24" s="2" t="inlineStr">
        <is>
          <t>Pair41 recipient</t>
        </is>
      </c>
      <c r="C24" s="2" t="inlineStr">
        <is>
          <t>Spencer Chapman 2024 Nature (allo-HCT)</t>
        </is>
      </c>
      <c r="D24" s="2" t="inlineStr">
        <is>
          <t>transplant pair</t>
        </is>
      </c>
      <c r="E24" s="3" t="inlineStr"/>
      <c r="F24" s="2" t="inlineStr">
        <is>
          <t>Pair41_PD45812_PD45813</t>
        </is>
      </c>
      <c r="G24" s="2" t="inlineStr">
        <is>
          <t>GRCh37</t>
        </is>
      </c>
      <c r="H24" s="2" t="n">
        <v>160</v>
      </c>
      <c r="I24" s="2" t="inlineStr">
        <is>
          <t>queued</t>
        </is>
      </c>
      <c r="J24" s="2" t="inlineStr">
        <is>
          <t>/lustre/scratch126/casm/teams/team273/users/jd43/hsc_foldback2/Pair41_PD45812_PD45813/Pair41_PD45812_PD45813</t>
        </is>
      </c>
      <c r="K24" s="2" t="inlineStr">
        <is>
          <t>1fcdc92 (annotate SV lift + PROVIRUS_LTR, somatic_table beta-binomial het gate); checkout f01828e (+ hsc_chain.sh, no pipeline change)</t>
        </is>
      </c>
      <c r="L24" s="5" t="inlineStr">
        <is>
          <t>no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5" t="inlineStr">
        <is>
          <t>no</t>
        </is>
      </c>
      <c r="T24" s="3" t="inlineStr">
        <is>
          <t>published Pair_2; sex-mismatched pair (F donor -&gt; M recipient); added 2026-10-15 (whole transplant cohort); chain-submitted 2026-10-18 (cluster/hsc_chain.sh), native GRCh37, sd 344601, cleanup 344613, stage+discover waits on ended(344598), results -&gt; /nfs/users/nfs_j/jd43/results/hsc_foldback2/Pair41_PD45812_PD45813</t>
        </is>
      </c>
    </row>
    <row r="25">
      <c r="A25" s="2" t="inlineStr">
        <is>
          <t>PD49229</t>
        </is>
      </c>
      <c r="B25" s="2" t="inlineStr">
        <is>
          <t>BCL002 (SCD4)</t>
        </is>
      </c>
      <c r="C25" s="2" t="inlineStr">
        <is>
          <t>Spencer Chapman 2023 Nat Med (SCD gene therapy)</t>
        </is>
      </c>
      <c r="D25" s="2" t="inlineStr">
        <is>
          <t>TP53 clade</t>
        </is>
      </c>
      <c r="E25" s="3" t="inlineStr">
        <is>
          <t>R273H</t>
        </is>
      </c>
      <c r="F25" s="2" t="inlineStr">
        <is>
          <t>PD49229</t>
        </is>
      </c>
      <c r="G25" s="2" t="inlineStr">
        <is>
          <t>GRCh37</t>
        </is>
      </c>
      <c r="H25" s="2" t="n">
        <v>722</v>
      </c>
      <c r="I25" s="6" t="inlineStr">
        <is>
          <t>report incomplete</t>
        </is>
      </c>
      <c r="J25" s="2" t="inlineStr">
        <is>
          <t>/lustre/scratch126/casm/teams/team273/users/jd43/hsc/PD49229/PD49229</t>
        </is>
      </c>
      <c r="K25" s="2" t="inlineStr">
        <is>
          <t>~7d9e241 (inferred, hsc-deploy 2026-10-07); annotate rerun on 59b75b6 (Rust RTE)</t>
        </is>
      </c>
      <c r="L25" s="4" t="inlineStr">
        <is>
          <t>yes</t>
        </is>
      </c>
      <c r="M25" s="2" t="inlineStr">
        <is>
          <t>PD49229</t>
        </is>
      </c>
      <c r="N25" s="2" t="n">
        <v>237</v>
      </c>
      <c r="O25" s="2" t="inlineStr">
        <is>
          <t>16 / 188 / 33</t>
        </is>
      </c>
      <c r="P25" s="2" t="n">
        <v>62</v>
      </c>
      <c r="Q25" s="2" t="n">
        <v>220</v>
      </c>
      <c r="R25" s="2" t="inlineStr">
        <is>
          <t>92 %</t>
        </is>
      </c>
      <c r="S25" s="5" t="inlineStr">
        <is>
          <t>no</t>
        </is>
      </c>
      <c r="T25" s="3" t="inlineStr">
        <is>
          <t>NEEDS RERUN (not scheduled): combine predates the dense-region filter removal (2026-10-11), which dropped ~2.4% of germline MEIs here (3381 loci in 733 bins); 722 colonies; annotated + joint table copied, no tree_fit / somatic.xlsx yet (annotate OOM at 32 GB -&gt; Rust RTE rerun)</t>
        </is>
      </c>
    </row>
    <row r="26">
      <c r="A26" s="2" t="inlineStr">
        <is>
          <t>PD49226</t>
        </is>
      </c>
      <c r="B26" s="2" t="inlineStr">
        <is>
          <t>BCL009</t>
        </is>
      </c>
      <c r="C26" s="2" t="inlineStr">
        <is>
          <t>Spencer Chapman 2023 Nat Med (SCD gene therapy)</t>
        </is>
      </c>
      <c r="D26" s="2" t="inlineStr">
        <is>
          <t>SCD cohort</t>
        </is>
      </c>
      <c r="E26" s="3" t="inlineStr"/>
      <c r="F26" s="2" t="inlineStr">
        <is>
          <t>PD49226</t>
        </is>
      </c>
      <c r="G26" s="2" t="inlineStr">
        <is>
          <t>GRCh37</t>
        </is>
      </c>
      <c r="H26" s="2" t="n">
        <v>344</v>
      </c>
      <c r="I26" s="2" t="inlineStr">
        <is>
          <t>queued</t>
        </is>
      </c>
      <c r="J26" s="2" t="inlineStr">
        <is>
          <t>/lustre/scratch126/casm/teams/team273/users/jd43/hsc_foldback2/PD49226/PD49226</t>
        </is>
      </c>
      <c r="K26" s="2" t="inlineStr">
        <is>
          <t>1fcdc92 (annotate SV lift + PROVIRUS_LTR, somatic_table beta-binomial het gate); checkout f01828e (+ hsc_chain.sh, no pipeline change)</t>
        </is>
      </c>
      <c r="L26" s="5" t="inlineStr">
        <is>
          <t>no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5" t="inlineStr">
        <is>
          <t>no</t>
        </is>
      </c>
      <c r="T26" s="3" t="inlineStr">
        <is>
          <t>colonies.tsv populated 2026-07-18 (nst_links), all hs37d5; folder still patients/unknown_tissue_bcl (should be re-filed as blood); added 2026-10-15 (whole SCD cohort); chain-submitted 2026-10-18 (cluster/hsc_chain.sh), native GRCh37, sd 344657, cleanup 344664, stage+discover waits on ended(344654), results -&gt; /nfs/users/nfs_j/jd43/results/hsc_foldback2/PD49226</t>
        </is>
      </c>
    </row>
    <row r="27">
      <c r="A27" s="2" t="inlineStr">
        <is>
          <t>PD49227</t>
        </is>
      </c>
      <c r="B27" s="2" t="inlineStr">
        <is>
          <t>BCL008</t>
        </is>
      </c>
      <c r="C27" s="2" t="inlineStr">
        <is>
          <t>Spencer Chapman 2023 Nat Med (SCD gene therapy)</t>
        </is>
      </c>
      <c r="D27" s="2" t="inlineStr">
        <is>
          <t>SCD cohort</t>
        </is>
      </c>
      <c r="E27" s="3" t="inlineStr"/>
      <c r="F27" s="2" t="inlineStr">
        <is>
          <t>PD49227</t>
        </is>
      </c>
      <c r="G27" s="2" t="inlineStr">
        <is>
          <t>GRCh37</t>
        </is>
      </c>
      <c r="H27" s="2" t="n">
        <v>423</v>
      </c>
      <c r="I27" s="2" t="inlineStr">
        <is>
          <t>queued</t>
        </is>
      </c>
      <c r="J27" s="2" t="inlineStr">
        <is>
          <t>/lustre/scratch126/casm/teams/team273/users/jd43/hsc_foldback2/PD49227/PD49227</t>
        </is>
      </c>
      <c r="K27" s="2" t="inlineStr">
        <is>
          <t>1fcdc92 (annotate SV lift + PROVIRUS_LTR, somatic_table beta-binomial het gate); checkout f01828e (+ hsc_chain.sh, no pipeline change)</t>
        </is>
      </c>
      <c r="L27" s="5" t="inlineStr">
        <is>
          <t>no</t>
        </is>
      </c>
      <c r="M27" s="2" t="inlineStr"/>
      <c r="N27" s="2" t="inlineStr"/>
      <c r="O27" s="2" t="inlineStr"/>
      <c r="P27" s="2" t="inlineStr"/>
      <c r="Q27" s="2" t="inlineStr"/>
      <c r="R27" s="2" t="inlineStr"/>
      <c r="S27" s="5" t="inlineStr">
        <is>
          <t>no</t>
        </is>
      </c>
      <c r="T27" s="3" t="inlineStr">
        <is>
          <t>colonies.tsv populated 2026-07-18 (nst_links), all hs37d5; folder still patients/unknown_tissue_bcl (should be re-filed as blood); added 2026-10-15 (whole SCD cohort); chain-submitted 2026-10-18 (cluster/hsc_chain.sh), native GRCh37, sd 344667, cleanup 344676, stage+discover waits on ended(344664), results -&gt; /nfs/users/nfs_j/jd43/results/hsc_foldback2/PD49227</t>
        </is>
      </c>
    </row>
    <row r="28">
      <c r="A28" s="2" t="inlineStr">
        <is>
          <t>PD49228</t>
        </is>
      </c>
      <c r="B28" s="2" t="inlineStr">
        <is>
          <t>BCL004 (SCD5)</t>
        </is>
      </c>
      <c r="C28" s="2" t="inlineStr">
        <is>
          <t>Spencer Chapman 2023 Nat Med (SCD gene therapy)</t>
        </is>
      </c>
      <c r="D28" s="2" t="inlineStr">
        <is>
          <t>SCD cohort</t>
        </is>
      </c>
      <c r="E28" s="3" t="inlineStr"/>
      <c r="F28" s="2" t="inlineStr">
        <is>
          <t>PD49228</t>
        </is>
      </c>
      <c r="G28" s="2" t="inlineStr">
        <is>
          <t>GRCh37</t>
        </is>
      </c>
      <c r="H28" s="2" t="n">
        <v>486</v>
      </c>
      <c r="I28" s="2" t="inlineStr">
        <is>
          <t>queued</t>
        </is>
      </c>
      <c r="J28" s="2" t="inlineStr">
        <is>
          <t>/lustre/scratch126/casm/teams/team273/users/jd43/hsc_foldback2/PD49228/PD49228</t>
        </is>
      </c>
      <c r="K28" s="2" t="inlineStr">
        <is>
          <t>1fcdc92 (annotate SV lift + PROVIRUS_LTR, somatic_table beta-binomial het gate); checkout f01828e (+ hsc_chain.sh, no pipeline change)</t>
        </is>
      </c>
      <c r="L28" s="5" t="inlineStr">
        <is>
          <t>no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5" t="inlineStr">
        <is>
          <t>no</t>
        </is>
      </c>
      <c r="T28" s="3" t="inlineStr">
        <is>
          <t>colonies.tsv populated 2026-07-18 (nst_links), all hs37d5; folder still patients/unknown_tissue_bcl (should be re-filed as blood); added 2026-10-15 (whole SCD cohort); chain-submitted 2026-10-18 (cluster/hsc_chain.sh), native GRCh37, sd 344680, cleanup 344686, stage+discover waits on ended(344676), results -&gt; /nfs/users/nfs_j/jd43/results/hsc_foldback2/PD49228</t>
        </is>
      </c>
    </row>
    <row r="29">
      <c r="A29" s="2" t="inlineStr">
        <is>
          <t>PD53373</t>
        </is>
      </c>
      <c r="B29" s="2" t="inlineStr">
        <is>
          <t>BCL003</t>
        </is>
      </c>
      <c r="C29" s="2" t="inlineStr">
        <is>
          <t>Spencer Chapman 2023 Nat Med (SCD gene therapy)</t>
        </is>
      </c>
      <c r="D29" s="2" t="inlineStr">
        <is>
          <t>SCD cohort</t>
        </is>
      </c>
      <c r="E29" s="3" t="inlineStr"/>
      <c r="F29" s="2" t="inlineStr">
        <is>
          <t>PD53373</t>
        </is>
      </c>
      <c r="G29" s="2" t="inlineStr">
        <is>
          <t>GRCh37</t>
        </is>
      </c>
      <c r="H29" s="2" t="n">
        <v>535</v>
      </c>
      <c r="I29" s="2" t="inlineStr">
        <is>
          <t>queued</t>
        </is>
      </c>
      <c r="J29" s="2" t="inlineStr">
        <is>
          <t>/lustre/scratch126/casm/teams/team273/users/jd43/hsc_foldback2/PD53373/PD53373</t>
        </is>
      </c>
      <c r="K29" s="2" t="inlineStr">
        <is>
          <t>1fcdc92 (annotate SV lift + PROVIRUS_LTR, somatic_table beta-binomial het gate); checkout f01828e (+ hsc_chain.sh, no pipeline change)</t>
        </is>
      </c>
      <c r="L29" s="5" t="inlineStr">
        <is>
          <t>no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5" t="inlineStr">
        <is>
          <t>no</t>
        </is>
      </c>
      <c r="T29" s="3" t="inlineStr">
        <is>
          <t>colonies.tsv populated 2026-07-18 (nst_links), all hs37d5; folder still patients/unknown_tissue_bcl (should be re-filed as blood); added 2026-10-15 (whole SCD cohort); chain-submitted 2026-10-18 (cluster/hsc_chain.sh), native GRCh37, sd 344692, cleanup 344700, stage+discover waits on ended(344686), results -&gt; /nfs/users/nfs_j/jd43/results/hsc_foldback2/PD53373</t>
        </is>
      </c>
    </row>
    <row r="30">
      <c r="A30" s="2" t="inlineStr">
        <is>
          <t>PD53374</t>
        </is>
      </c>
      <c r="B30" s="2" t="inlineStr">
        <is>
          <t>BCL006</t>
        </is>
      </c>
      <c r="C30" s="2" t="inlineStr">
        <is>
          <t>Spencer Chapman 2023 Nat Med (SCD gene therapy)</t>
        </is>
      </c>
      <c r="D30" s="2" t="inlineStr">
        <is>
          <t>SCD cohort</t>
        </is>
      </c>
      <c r="E30" s="3" t="inlineStr"/>
      <c r="F30" s="2" t="inlineStr">
        <is>
          <t>PD53374</t>
        </is>
      </c>
      <c r="G30" s="2" t="inlineStr">
        <is>
          <t>GRCh37</t>
        </is>
      </c>
      <c r="H30" s="2" t="n">
        <v>297</v>
      </c>
      <c r="I30" s="2" t="inlineStr">
        <is>
          <t>queued</t>
        </is>
      </c>
      <c r="J30" s="2" t="inlineStr">
        <is>
          <t>/lustre/scratch126/casm/teams/team273/users/jd43/hsc_foldback2/PD53374/PD53374</t>
        </is>
      </c>
      <c r="K30" s="2" t="inlineStr">
        <is>
          <t>1fcdc92 (annotate SV lift + PROVIRUS_LTR, somatic_table beta-binomial het gate); checkout f01828e (+ hsc_chain.sh, no pipeline change)</t>
        </is>
      </c>
      <c r="L30" s="5" t="inlineStr">
        <is>
          <t>no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5" t="inlineStr">
        <is>
          <t>no</t>
        </is>
      </c>
      <c r="T30" s="3" t="inlineStr">
        <is>
          <t>colonies.tsv populated 2026-07-18 (nst_links), all hs37d5; folder still patients/unknown_tissue_bcl (should be re-filed as blood); added 2026-10-15 (whole SCD cohort); chain-submitted 2026-10-18 (cluster/hsc_chain.sh), native GRCh37, sd 344620, cleanup 344627, stage+discover waits on ended(344613), results -&gt; /nfs/users/nfs_j/jd43/results/hsc_foldback2/PD53374</t>
        </is>
      </c>
    </row>
    <row r="31">
      <c r="A31" s="2" t="inlineStr">
        <is>
          <t>PD43975</t>
        </is>
      </c>
      <c r="B31" s="2" t="inlineStr">
        <is>
          <t>SDS2</t>
        </is>
      </c>
      <c r="C31" s="2" t="inlineStr">
        <is>
          <t>Machado 2023 Nat Commun (Shwachman-Diamond)</t>
        </is>
      </c>
      <c r="D31" s="2" t="inlineStr">
        <is>
          <t>TP53 clade</t>
        </is>
      </c>
      <c r="E31" s="3" t="inlineStr">
        <is>
          <t>C141Y</t>
        </is>
      </c>
      <c r="F31" s="2" t="inlineStr">
        <is>
          <t>PD43975</t>
        </is>
      </c>
      <c r="G31" s="2" t="inlineStr">
        <is>
          <t>GRCh37</t>
        </is>
      </c>
      <c r="H31" s="2" t="n">
        <v>38</v>
      </c>
      <c r="I31" s="4" t="inlineStr">
        <is>
          <t>done</t>
        </is>
      </c>
      <c r="J31" s="2" t="inlineStr">
        <is>
          <t>/lustre/scratch126/casm/teams/team273/users/jd43/hsc_foldback2/PD43975/PD43975</t>
        </is>
      </c>
      <c r="K31" s="2" t="inlineStr">
        <is>
          <t>1fcdc92 (annotate SV lift + PROVIRUS_LTR, somatic_table beta-binomial het gate)</t>
        </is>
      </c>
      <c r="L31" s="4" t="inlineStr">
        <is>
          <t>yes</t>
        </is>
      </c>
      <c r="M31" s="2" t="inlineStr">
        <is>
          <t>PD43975</t>
        </is>
      </c>
      <c r="N31" s="2" t="n">
        <v>25</v>
      </c>
      <c r="O31" s="2" t="inlineStr">
        <is>
          <t>1 / 1 / 23</t>
        </is>
      </c>
      <c r="P31" s="2" t="n">
        <v>7</v>
      </c>
      <c r="Q31" s="2" t="n">
        <v>25</v>
      </c>
      <c r="R31" s="4" t="inlineStr">
        <is>
          <t>complete</t>
        </is>
      </c>
      <c r="S31" s="5" t="inlineStr">
        <is>
          <t>no</t>
        </is>
      </c>
      <c r="T31" s="3" t="inlineStr">
        <is>
          <t>tree added 2026-10-10 (zeros outgroup dropped); colonies.tsv populated 2026-10-10 (iRODS, all tips); submitted 2026-10-16 (job IDs not recorded), native GRCh37, results -&gt; /nfs/users/nfs_j/jd43/results/hsc_foldback2/PD43975; 38/38 colonies; done on farm 2026-10-17; results copied 2026-10-17 to ~/Documents/hsc_results/PD43975</t>
        </is>
      </c>
    </row>
    <row r="32">
      <c r="A32" s="2" t="inlineStr">
        <is>
          <t>PD43293</t>
        </is>
      </c>
      <c r="B32" s="2" t="inlineStr">
        <is>
          <t>SDS4</t>
        </is>
      </c>
      <c r="C32" s="2" t="inlineStr">
        <is>
          <t>Machado 2023 Nat Commun (Shwachman-Diamond)</t>
        </is>
      </c>
      <c r="D32" s="2" t="inlineStr">
        <is>
          <t>TP53 clade</t>
        </is>
      </c>
      <c r="E32" s="3" t="inlineStr">
        <is>
          <t>R273L</t>
        </is>
      </c>
      <c r="F32" s="2" t="inlineStr">
        <is>
          <t>PD43293</t>
        </is>
      </c>
      <c r="G32" s="2" t="inlineStr">
        <is>
          <t>GRCh37</t>
        </is>
      </c>
      <c r="H32" s="2" t="n">
        <v>18</v>
      </c>
      <c r="I32" s="4" t="inlineStr">
        <is>
          <t>done</t>
        </is>
      </c>
      <c r="J32" s="2" t="inlineStr">
        <is>
          <t>/lustre/scratch126/casm/teams/team273/users/jd43/hsc_foldback2/PD43293/PD43293</t>
        </is>
      </c>
      <c r="K32" s="2" t="inlineStr">
        <is>
          <t>1fcdc92 (annotate SV lift + PROVIRUS_LTR, somatic_table beta-binomial het gate)</t>
        </is>
      </c>
      <c r="L32" s="4" t="inlineStr">
        <is>
          <t>yes</t>
        </is>
      </c>
      <c r="M32" s="2" t="inlineStr">
        <is>
          <t>PD43293</t>
        </is>
      </c>
      <c r="N32" s="2" t="n">
        <v>48</v>
      </c>
      <c r="O32" s="2" t="inlineStr">
        <is>
          <t>10 / 11 / 27</t>
        </is>
      </c>
      <c r="P32" s="2" t="n">
        <v>6</v>
      </c>
      <c r="Q32" s="2" t="n">
        <v>48</v>
      </c>
      <c r="R32" s="4" t="inlineStr">
        <is>
          <t>complete</t>
        </is>
      </c>
      <c r="S32" s="5" t="inlineStr">
        <is>
          <t>no</t>
        </is>
      </c>
      <c r="T32" s="3" t="inlineStr">
        <is>
          <t>tree added 2026-10-10 (zeros outgroup dropped); colonies.tsv populated 2026-10-10 (iRODS, all tips); submitted 2026-10-17 (job IDs not recorded), native GRCh37, results -&gt; /nfs/users/nfs_j/jd43/results/hsc_foldback2/PD43293; done 2026-10-17; results copied 2026-10-18 to ~/Documents/hsc_results/PD43293</t>
        </is>
      </c>
    </row>
    <row r="33">
      <c r="A33" s="2" t="inlineStr">
        <is>
          <t>PD42190</t>
        </is>
      </c>
      <c r="B33" s="2" t="inlineStr">
        <is>
          <t>SDS5 (timepoint 1)</t>
        </is>
      </c>
      <c r="C33" s="2" t="inlineStr">
        <is>
          <t>Machado 2023 Nat Commun (Shwachman-Diamond)</t>
        </is>
      </c>
      <c r="D33" s="2" t="inlineStr">
        <is>
          <t>TP53 clade</t>
        </is>
      </c>
      <c r="E33" s="3" t="inlineStr">
        <is>
          <t>R248W (3), A159V (2), P151S (2) + 5 single</t>
        </is>
      </c>
      <c r="F33" s="2" t="inlineStr">
        <is>
          <t>SDS5_PD42190_PD45888</t>
        </is>
      </c>
      <c r="G33" s="2" t="inlineStr">
        <is>
          <t>GRCh37</t>
        </is>
      </c>
      <c r="H33" s="2" t="n">
        <v>48</v>
      </c>
      <c r="I33" s="4" t="inlineStr">
        <is>
          <t>done</t>
        </is>
      </c>
      <c r="J33" s="2" t="inlineStr">
        <is>
          <t>/lustre/scratch126/casm/teams/team273/users/jd43/hsc_foldback2/SDS5_PD42190_PD45888/SDS5_PD42190_PD45888</t>
        </is>
      </c>
      <c r="K33" s="2" t="inlineStr">
        <is>
          <t>1fcdc92 (annotate SV lift + PROVIRUS_LTR, somatic_table beta-binomial het gate); checkout f01828e (+ hsc_chain.sh, no pipeline change)</t>
        </is>
      </c>
      <c r="L33" s="4" t="inlineStr">
        <is>
          <t>yes</t>
        </is>
      </c>
      <c r="M33" s="2" t="inlineStr">
        <is>
          <t>SDS5_PD42190_PD45888</t>
        </is>
      </c>
      <c r="N33" s="2" t="n">
        <v>117</v>
      </c>
      <c r="O33" s="2" t="inlineStr">
        <is>
          <t>2 / 4 / 111</t>
        </is>
      </c>
      <c r="P33" s="2" t="n">
        <v>93</v>
      </c>
      <c r="Q33" s="2" t="n">
        <v>4</v>
      </c>
      <c r="R33" s="2" t="inlineStr">
        <is>
          <t>3 %</t>
        </is>
      </c>
      <c r="S33" s="5" t="inlineStr">
        <is>
          <t>no</t>
        </is>
      </c>
      <c r="T33" s="3" t="inlineStr">
        <is>
          <t>one tree with PD45888; colonies.tsv populated 2026-10-10 (100/100); chain-submitted 2026-10-18 (cluster/hsc_chain.sh), native GRCh37, sd 344533, cleanup 344539, stage+discover waits on ended(344527), results -&gt; /nfs/users/nfs_j/jd43/results/hsc_foldback2/SDS5_PD42190_PD45888; done on farm 2026-10-19 (somatic.xlsx 06:26); results copied 2026-10-20 to ~/Documents/hsc_results/SDS5_PD42190_PD45888; copy-number rule applied locally (apply_copy_number.py): 0 rows moved</t>
        </is>
      </c>
    </row>
    <row r="34">
      <c r="A34" s="2" t="inlineStr">
        <is>
          <t>PD45888</t>
        </is>
      </c>
      <c r="B34" s="2" t="inlineStr">
        <is>
          <t>SDS5 (timepoint 2)</t>
        </is>
      </c>
      <c r="C34" s="2" t="inlineStr">
        <is>
          <t>Machado 2023 Nat Commun (Shwachman-Diamond)</t>
        </is>
      </c>
      <c r="D34" s="2" t="inlineStr">
        <is>
          <t>TP53 clade</t>
        </is>
      </c>
      <c r="E34" s="3" t="inlineStr">
        <is>
          <t>(shared SDS5 tree)</t>
        </is>
      </c>
      <c r="F34" s="2" t="inlineStr">
        <is>
          <t>SDS5_PD42190_PD45888</t>
        </is>
      </c>
      <c r="G34" s="2" t="inlineStr">
        <is>
          <t>GRCh37</t>
        </is>
      </c>
      <c r="H34" s="2" t="n">
        <v>52</v>
      </c>
      <c r="I34" s="4" t="inlineStr">
        <is>
          <t>done</t>
        </is>
      </c>
      <c r="J34" s="2" t="inlineStr">
        <is>
          <t>/lustre/scratch126/casm/teams/team273/users/jd43/hsc_foldback2/SDS5_PD42190_PD45888/SDS5_PD42190_PD45888</t>
        </is>
      </c>
      <c r="K34" s="2" t="inlineStr">
        <is>
          <t>1fcdc92 (annotate SV lift + PROVIRUS_LTR, somatic_table beta-binomial het gate); checkout f01828e (+ hsc_chain.sh, no pipeline change)</t>
        </is>
      </c>
      <c r="L34" s="4" t="inlineStr">
        <is>
          <t>yes</t>
        </is>
      </c>
      <c r="M34" s="2" t="inlineStr">
        <is>
          <t>SDS5_PD42190_PD45888</t>
        </is>
      </c>
      <c r="N34" s="2" t="n">
        <v>117</v>
      </c>
      <c r="O34" s="2" t="inlineStr">
        <is>
          <t>2 / 4 / 111</t>
        </is>
      </c>
      <c r="P34" s="2" t="n">
        <v>93</v>
      </c>
      <c r="Q34" s="2" t="n">
        <v>4</v>
      </c>
      <c r="R34" s="2" t="inlineStr">
        <is>
          <t>3 %</t>
        </is>
      </c>
      <c r="S34" s="5" t="inlineStr">
        <is>
          <t>no</t>
        </is>
      </c>
      <c r="T34" s="3" t="inlineStr">
        <is>
          <t>one tree with PD42190; colonies.tsv populated 2026-10-10 (100/100); chain-submitted 2026-10-18 (cluster/hsc_chain.sh), native GRCh37, sd 344533, cleanup 344539, stage+discover waits on ended(344527), results -&gt; /nfs/users/nfs_j/jd43/results/hsc_foldback2/SDS5_PD42190_PD45888; done on farm 2026-10-19 (somatic.xlsx 06:26); results copied 2026-10-20 to ~/Documents/hsc_results/SDS5_PD42190_PD45888; copy-number rule applied locally (apply_copy_number.py): 0 rows moved</t>
        </is>
      </c>
    </row>
    <row r="35">
      <c r="A35" s="2" t="inlineStr">
        <is>
          <t>PD45887</t>
        </is>
      </c>
      <c r="B35" s="2" t="inlineStr">
        <is>
          <t>SDS6</t>
        </is>
      </c>
      <c r="C35" s="2" t="inlineStr">
        <is>
          <t>Machado 2023 Nat Commun (Shwachman-Diamond)</t>
        </is>
      </c>
      <c r="D35" s="2" t="inlineStr">
        <is>
          <t>TP53 clade</t>
        </is>
      </c>
      <c r="E35" s="3" t="inlineStr">
        <is>
          <t>E258K, G245S, I195F, R175H, V157F</t>
        </is>
      </c>
      <c r="F35" s="2" t="inlineStr">
        <is>
          <t>PD45887</t>
        </is>
      </c>
      <c r="G35" s="2" t="inlineStr">
        <is>
          <t>GRCh37</t>
        </is>
      </c>
      <c r="H35" s="2" t="n">
        <v>27</v>
      </c>
      <c r="I35" s="4" t="inlineStr">
        <is>
          <t>done</t>
        </is>
      </c>
      <c r="J35" s="2" t="inlineStr">
        <is>
          <t>/lustre/scratch126/casm/teams/team273/users/jd43/hsc_foldback2/PD45887/PD45887</t>
        </is>
      </c>
      <c r="K35" s="2" t="inlineStr">
        <is>
          <t>1fcdc92 (annotate SV lift + PROVIRUS_LTR, somatic_table beta-binomial het gate)</t>
        </is>
      </c>
      <c r="L35" s="4" t="inlineStr">
        <is>
          <t>yes</t>
        </is>
      </c>
      <c r="M35" s="2" t="inlineStr">
        <is>
          <t>PD45887</t>
        </is>
      </c>
      <c r="N35" s="2" t="n">
        <v>46</v>
      </c>
      <c r="O35" s="2" t="inlineStr">
        <is>
          <t>1 / 4 / 41</t>
        </is>
      </c>
      <c r="P35" s="2" t="n">
        <v>2</v>
      </c>
      <c r="Q35" s="2" t="n">
        <v>17</v>
      </c>
      <c r="R35" s="2" t="inlineStr">
        <is>
          <t>36 %</t>
        </is>
      </c>
      <c r="S35" s="5" t="inlineStr">
        <is>
          <t>no</t>
        </is>
      </c>
      <c r="T35" s="3" t="inlineStr">
        <is>
          <t>tree added 2026-10-10 (zeros outgroup dropped); colonies.tsv populated 2026-10-10 (iRODS, all tips); submitted 2026-10-17 (job IDs not recorded), native GRCh37, results -&gt; /nfs/users/nfs_j/jd43/results/hsc_foldback2/PD45887; done 2026-10-17; results copied 2026-10-18 to ~/Documents/hsc_results/PD45887</t>
        </is>
      </c>
    </row>
    <row r="36">
      <c r="A36" s="2" t="inlineStr">
        <is>
          <t>PD44706</t>
        </is>
      </c>
      <c r="B36" s="2" t="inlineStr">
        <is>
          <t>SDS7</t>
        </is>
      </c>
      <c r="C36" s="2" t="inlineStr">
        <is>
          <t>Machado 2023 Nat Commun (Shwachman-Diamond)</t>
        </is>
      </c>
      <c r="D36" s="2" t="inlineStr">
        <is>
          <t>TP53 clade</t>
        </is>
      </c>
      <c r="E36" s="3" t="inlineStr">
        <is>
          <t>C275Y, V272M, G245S, Y205F, H179Q, V173M</t>
        </is>
      </c>
      <c r="F36" s="2" t="inlineStr">
        <is>
          <t>PD44706</t>
        </is>
      </c>
      <c r="G36" s="2" t="inlineStr">
        <is>
          <t>GRCh37</t>
        </is>
      </c>
      <c r="H36" s="2" t="n">
        <v>35</v>
      </c>
      <c r="I36" s="4" t="inlineStr">
        <is>
          <t>done</t>
        </is>
      </c>
      <c r="J36" s="2" t="inlineStr">
        <is>
          <t>/lustre/scratch126/casm/teams/team273/users/jd43/hsc_foldback2/PD44706/PD44706</t>
        </is>
      </c>
      <c r="K36" s="2" t="inlineStr">
        <is>
          <t>1fcdc92 (annotate SV lift + PROVIRUS_LTR, somatic_table beta-binomial het gate)</t>
        </is>
      </c>
      <c r="L36" s="4" t="inlineStr">
        <is>
          <t>yes</t>
        </is>
      </c>
      <c r="M36" s="2" t="inlineStr">
        <is>
          <t>PD44706</t>
        </is>
      </c>
      <c r="N36" s="2" t="n">
        <v>60</v>
      </c>
      <c r="O36" s="2" t="inlineStr">
        <is>
          <t>4 / 3 / 53</t>
        </is>
      </c>
      <c r="P36" s="2" t="n">
        <v>30</v>
      </c>
      <c r="Q36" s="2" t="n">
        <v>60</v>
      </c>
      <c r="R36" s="4" t="inlineStr">
        <is>
          <t>complete</t>
        </is>
      </c>
      <c r="S36" s="5" t="inlineStr">
        <is>
          <t>no</t>
        </is>
      </c>
      <c r="T36" s="3" t="inlineStr">
        <is>
          <t>tree added 2026-10-10 (zeros outgroup dropped); colonies.tsv populated 2026-10-10 (iRODS, all tips); submitted 2026-10-13 03:47 (farm22-head2), native GRCh37 (hg19.2bit + hs1-&gt;hg19 chain), LSF jobs 245034-245043, results -&gt; /nfs/users/nfs_j/jd43/results/hsc_foldback2/PD44706; 35/35 colonies; done; results copied 2026-10-13 to ~/Documents/hsc_results/PD44706; tree_fit: 119 private, 1063 informative shared, 8550 germline</t>
        </is>
      </c>
    </row>
    <row r="37">
      <c r="A37" s="2" t="inlineStr">
        <is>
          <t>PD42191</t>
        </is>
      </c>
      <c r="B37" s="2" t="inlineStr">
        <is>
          <t>SDS8</t>
        </is>
      </c>
      <c r="C37" s="2" t="inlineStr">
        <is>
          <t>Machado 2023 Nat Commun (Shwachman-Diamond)</t>
        </is>
      </c>
      <c r="D37" s="2" t="inlineStr">
        <is>
          <t>TP53 clade</t>
        </is>
      </c>
      <c r="E37" s="3" t="inlineStr">
        <is>
          <t>I254F+R248Q biallelic trunk (all 10 col)</t>
        </is>
      </c>
      <c r="F37" s="2" t="inlineStr">
        <is>
          <t>PD42191</t>
        </is>
      </c>
      <c r="G37" s="2" t="inlineStr">
        <is>
          <t>GRCh37</t>
        </is>
      </c>
      <c r="H37" s="2" t="n">
        <v>10</v>
      </c>
      <c r="I37" s="4" t="inlineStr">
        <is>
          <t>done</t>
        </is>
      </c>
      <c r="J37" s="2" t="inlineStr">
        <is>
          <t>/lustre/scratch126/casm/teams/team273/users/jd43/hsc_foldback2/PD42191/PD42191</t>
        </is>
      </c>
      <c r="K37" s="2" t="inlineStr">
        <is>
          <t>1fcdc92 (annotate SV lift + PROVIRUS_LTR, somatic_table beta-binomial het gate)</t>
        </is>
      </c>
      <c r="L37" s="4" t="inlineStr">
        <is>
          <t>yes</t>
        </is>
      </c>
      <c r="M37" s="2" t="inlineStr">
        <is>
          <t>PD42191</t>
        </is>
      </c>
      <c r="N37" s="2" t="n">
        <v>155</v>
      </c>
      <c r="O37" s="2" t="inlineStr">
        <is>
          <t>21 / 46 / 88</t>
        </is>
      </c>
      <c r="P37" s="2" t="n">
        <v>603</v>
      </c>
      <c r="Q37" s="2" t="n">
        <v>58</v>
      </c>
      <c r="R37" s="2" t="inlineStr">
        <is>
          <t>37 %</t>
        </is>
      </c>
      <c r="S37" s="5" t="inlineStr">
        <is>
          <t>no</t>
        </is>
      </c>
      <c r="T37" s="3" t="inlineStr">
        <is>
          <t>tree added 2026-10-10 (zeros outgroup dropped); colonies.tsv populated 2026-10-10 (iRODS, all tips); submitted 2026-10-17 (job IDs not recorded), native GRCh37, results -&gt; /nfs/users/nfs_j/jd43/results/hsc_foldback2/PD42191; done 2026-10-17, results copied 2026-10-18 to ~/Documents/hsc_results/PD42191</t>
        </is>
      </c>
    </row>
    <row r="38">
      <c r="A38" s="2" t="inlineStr">
        <is>
          <t>PD45886</t>
        </is>
      </c>
      <c r="B38" s="2" t="inlineStr">
        <is>
          <t>SDS10</t>
        </is>
      </c>
      <c r="C38" s="2" t="inlineStr">
        <is>
          <t>Machado 2023 Nat Commun (Shwachman-Diamond)</t>
        </is>
      </c>
      <c r="D38" s="2" t="inlineStr">
        <is>
          <t>TP53 clade</t>
        </is>
      </c>
      <c r="E38" s="3" t="inlineStr">
        <is>
          <t>H179Q (3)</t>
        </is>
      </c>
      <c r="F38" s="2" t="inlineStr">
        <is>
          <t>PD45886</t>
        </is>
      </c>
      <c r="G38" s="2" t="inlineStr">
        <is>
          <t>GRCh37</t>
        </is>
      </c>
      <c r="H38" s="2" t="n">
        <v>27</v>
      </c>
      <c r="I38" s="4" t="inlineStr">
        <is>
          <t>done</t>
        </is>
      </c>
      <c r="J38" s="2" t="inlineStr">
        <is>
          <t>/lustre/scratch126/casm/teams/team273/users/jd43/hsc_foldback2/PD45886/PD45886</t>
        </is>
      </c>
      <c r="K38" s="2" t="inlineStr">
        <is>
          <t>59f51a9 (combine fold-back strand fix; discovery reused from hsc_foldback ~5ed4f32); first run ~59b75b6</t>
        </is>
      </c>
      <c r="L38" s="4" t="inlineStr">
        <is>
          <t>yes</t>
        </is>
      </c>
      <c r="M38" s="2" t="inlineStr">
        <is>
          <t>PD45886</t>
        </is>
      </c>
      <c r="N38" s="2" t="n">
        <v>73</v>
      </c>
      <c r="O38" s="2" t="inlineStr">
        <is>
          <t>7 / 10 / 56</t>
        </is>
      </c>
      <c r="P38" s="2" t="n">
        <v>43</v>
      </c>
      <c r="Q38" s="2" t="n">
        <v>37</v>
      </c>
      <c r="R38" s="2" t="inlineStr">
        <is>
          <t>50 %</t>
        </is>
      </c>
      <c r="S38" s="5" t="inlineStr">
        <is>
          <t>no</t>
        </is>
      </c>
      <c r="T38" s="3" t="inlineStr">
        <is>
          <t>27 colonies, proj 2045; 73 private calls (B 7, C 10), 2570 germline MEIs; superseded runs (first run: 489 cruciform artefacts; hsc_foldback: lost 217 germline, strand bug) deleted 2026-10-20</t>
        </is>
      </c>
    </row>
    <row r="39">
      <c r="A39" s="2" t="inlineStr">
        <is>
          <t>PD43294</t>
        </is>
      </c>
      <c r="B39" s="2" t="inlineStr">
        <is>
          <t>SDS1</t>
        </is>
      </c>
      <c r="C39" s="2" t="inlineStr">
        <is>
          <t>Machado 2023 Nat Commun (Shwachman-Diamond)</t>
        </is>
      </c>
      <c r="D39" s="2" t="inlineStr">
        <is>
          <t>SBDS cohort</t>
        </is>
      </c>
      <c r="E39" s="3" t="inlineStr"/>
      <c r="F39" s="2" t="inlineStr">
        <is>
          <t>PD43294</t>
        </is>
      </c>
      <c r="G39" s="2" t="inlineStr">
        <is>
          <t>GRCh37</t>
        </is>
      </c>
      <c r="H39" s="2" t="n">
        <v>18</v>
      </c>
      <c r="I39" s="4" t="inlineStr">
        <is>
          <t>done</t>
        </is>
      </c>
      <c r="J39" s="2" t="inlineStr">
        <is>
          <t>/lustre/scratch126/casm/teams/team273/users/jd43/hsc_foldback2/PD43294/PD43294</t>
        </is>
      </c>
      <c r="K39" s="2" t="inlineStr">
        <is>
          <t>1fcdc92 (annotate SV lift + PROVIRUS_LTR, somatic_table beta-binomial het gate)</t>
        </is>
      </c>
      <c r="L39" s="4" t="inlineStr">
        <is>
          <t>yes</t>
        </is>
      </c>
      <c r="M39" s="2" t="inlineStr">
        <is>
          <t>PD43294</t>
        </is>
      </c>
      <c r="N39" s="2" t="n">
        <v>22</v>
      </c>
      <c r="O39" s="2" t="inlineStr">
        <is>
          <t>2 / 5 / 15</t>
        </is>
      </c>
      <c r="P39" s="2" t="n">
        <v>3</v>
      </c>
      <c r="Q39" s="2" t="n">
        <v>22</v>
      </c>
      <c r="R39" s="4" t="inlineStr">
        <is>
          <t>complete</t>
        </is>
      </c>
      <c r="S39" s="5" t="inlineStr">
        <is>
          <t>no</t>
        </is>
      </c>
      <c r="T39" s="3" t="inlineStr">
        <is>
          <t>tree added 2026-10-15 from nangalialab/SchwachmanDiamond cache/PDD.RDS (zeros outgroup dropped); colonies.tsv populated 2026-10-16 (iRODS, HSC_ASSEMBLY=GRCh37): 18/18 tips, all proj 2045; ready to submit; submitted 2026-10-17 08:32 (not by Jeremy; LSF jobs 239587-239603), native GRCh37; status 2026-10-18: all colonies discovered+genotyped, contract+calls yes; results -&gt; /nfs/users/nfs_j/jd43/results/hsc_foldback2/PD43294; results copied 2026-10-18 to ~/Documents/hsc_results/PD43294</t>
        </is>
      </c>
    </row>
    <row r="40">
      <c r="A40" s="2" t="inlineStr">
        <is>
          <t>PD43295</t>
        </is>
      </c>
      <c r="B40" s="2" t="inlineStr">
        <is>
          <t>SDS3</t>
        </is>
      </c>
      <c r="C40" s="2" t="inlineStr">
        <is>
          <t>Machado 2023 Nat Commun (Shwachman-Diamond)</t>
        </is>
      </c>
      <c r="D40" s="2" t="inlineStr">
        <is>
          <t>SBDS cohort</t>
        </is>
      </c>
      <c r="E40" s="3" t="inlineStr"/>
      <c r="F40" s="2" t="inlineStr">
        <is>
          <t>PD43295</t>
        </is>
      </c>
      <c r="G40" s="2" t="inlineStr">
        <is>
          <t>GRCh37</t>
        </is>
      </c>
      <c r="H40" s="2" t="n">
        <v>23</v>
      </c>
      <c r="I40" s="4" t="inlineStr">
        <is>
          <t>done</t>
        </is>
      </c>
      <c r="J40" s="2" t="inlineStr">
        <is>
          <t>/lustre/scratch126/casm/teams/team273/users/jd43/hsc_foldback2/PD43295/PD43295</t>
        </is>
      </c>
      <c r="K40" s="2" t="inlineStr">
        <is>
          <t>1fcdc92 (annotate SV lift + PROVIRUS_LTR, somatic_table beta-binomial het gate)</t>
        </is>
      </c>
      <c r="L40" s="4" t="inlineStr">
        <is>
          <t>yes</t>
        </is>
      </c>
      <c r="M40" s="2" t="inlineStr">
        <is>
          <t>PD43295</t>
        </is>
      </c>
      <c r="N40" s="2" t="n">
        <v>45</v>
      </c>
      <c r="O40" s="2" t="inlineStr">
        <is>
          <t>1 / 4 / 40</t>
        </is>
      </c>
      <c r="P40" s="2" t="n">
        <v>18</v>
      </c>
      <c r="Q40" s="2" t="n">
        <v>45</v>
      </c>
      <c r="R40" s="4" t="inlineStr">
        <is>
          <t>complete</t>
        </is>
      </c>
      <c r="S40" s="5" t="inlineStr">
        <is>
          <t>no</t>
        </is>
      </c>
      <c r="T40" s="3" t="inlineStr">
        <is>
          <t>tree added 2026-10-15 from nangalialab/SchwachmanDiamond cache/PDD.RDS (zeros outgroup dropped); colonies.tsv populated 2026-10-16 (iRODS, HSC_ASSEMBLY=GRCh37): 23/23 tips, all proj 2045; ready to submit; submitted 2026-10-17 08:32 (not by Jeremy; LSF jobs 239608-239631), native GRCh37; status 2026-10-18: all colonies discovered+genotyped, contract+calls yes; results -&gt; /nfs/users/nfs_j/jd43/results/hsc_foldback2/PD43295; results copied 2026-10-18 to ~/Documents/hsc_results/PD43295</t>
        </is>
      </c>
    </row>
    <row r="41">
      <c r="A41" s="2" t="inlineStr">
        <is>
          <t>PD45889</t>
        </is>
      </c>
      <c r="B41" s="2" t="inlineStr">
        <is>
          <t>SDS9</t>
        </is>
      </c>
      <c r="C41" s="2" t="inlineStr">
        <is>
          <t>Machado 2023 Nat Commun (Shwachman-Diamond)</t>
        </is>
      </c>
      <c r="D41" s="2" t="inlineStr">
        <is>
          <t>SBDS cohort</t>
        </is>
      </c>
      <c r="E41" s="3" t="inlineStr"/>
      <c r="F41" s="2" t="inlineStr">
        <is>
          <t>PD45889</t>
        </is>
      </c>
      <c r="G41" s="2" t="inlineStr">
        <is>
          <t>GRCh37</t>
        </is>
      </c>
      <c r="H41" s="2" t="n">
        <v>27</v>
      </c>
      <c r="I41" s="4" t="inlineStr">
        <is>
          <t>done</t>
        </is>
      </c>
      <c r="J41" s="2" t="inlineStr">
        <is>
          <t>/lustre/scratch126/casm/teams/team273/users/jd43/hsc_foldback2/PD45889/PD45889</t>
        </is>
      </c>
      <c r="K41" s="2" t="inlineStr">
        <is>
          <t>1fcdc92 (annotate SV lift + PROVIRUS_LTR, somatic_table beta-binomial het gate); checkout f01828e (+ hsc_chain.sh, no pipeline change)</t>
        </is>
      </c>
      <c r="L41" s="4" t="inlineStr">
        <is>
          <t>yes</t>
        </is>
      </c>
      <c r="M41" s="2" t="inlineStr">
        <is>
          <t>PD45889</t>
        </is>
      </c>
      <c r="N41" s="2" t="n">
        <v>62</v>
      </c>
      <c r="O41" s="2" t="inlineStr">
        <is>
          <t>5 / 8 / 49</t>
        </is>
      </c>
      <c r="P41" s="2" t="n">
        <v>11</v>
      </c>
      <c r="Q41" s="2" t="n">
        <v>9</v>
      </c>
      <c r="R41" s="2" t="inlineStr">
        <is>
          <t>14 %</t>
        </is>
      </c>
      <c r="S41" s="5" t="inlineStr">
        <is>
          <t>no</t>
        </is>
      </c>
      <c r="T41" s="3" t="inlineStr">
        <is>
          <t>tree added 2026-10-15 from nangalialab/SchwachmanDiamond cache/PDD.RDS (zeros outgroup dropped); colonies.tsv populated 2026-10-16 (iRODS, HSC_ASSEMBLY=GRCh37): 27/27 tips, all proj 2045; ready to submit; chain-submitted 2026-10-18 (cluster/hsc_chain.sh), native GRCh37, sd 344519, cleanup 344527, stage+discover starts immediately, results -&gt; /nfs/users/nfs_j/jd43/results/hsc_foldback2/PD45889; done on farm 2026-10-18 (somatic.xlsx 14:11); results copied 2026-10-20 to ~/Documents/hsc_results/PD45889</t>
        </is>
      </c>
    </row>
    <row r="42">
      <c r="A42" s="2" t="inlineStr">
        <is>
          <t>PD54832</t>
        </is>
      </c>
      <c r="B42" s="2" t="inlineStr"/>
      <c r="C42" s="2" t="inlineStr">
        <is>
          <t>Leongamornlert 2026 Cancer Discov (TN-ET)</t>
        </is>
      </c>
      <c r="D42" s="2" t="inlineStr">
        <is>
          <t>TP53 clade</t>
        </is>
      </c>
      <c r="E42" s="3" t="inlineStr">
        <is>
          <t>S215N</t>
        </is>
      </c>
      <c r="F42" s="2" t="inlineStr">
        <is>
          <t>PD54832</t>
        </is>
      </c>
      <c r="G42" s="2" t="inlineStr">
        <is>
          <t>GRCh37</t>
        </is>
      </c>
      <c r="H42" s="2" t="n">
        <v>49</v>
      </c>
      <c r="I42" s="4" t="inlineStr">
        <is>
          <t>done</t>
        </is>
      </c>
      <c r="J42" s="2" t="inlineStr">
        <is>
          <t>/lustre/scratch126/casm/teams/team273/users/jd43/hsc_foldback2/PD54832/PD54832</t>
        </is>
      </c>
      <c r="K42" s="2" t="inlineStr">
        <is>
          <t>1fcdc92 (annotate SV lift + PROVIRUS_LTR, somatic_table beta-binomial het gate)</t>
        </is>
      </c>
      <c r="L42" s="4" t="inlineStr">
        <is>
          <t>yes</t>
        </is>
      </c>
      <c r="M42" s="2" t="inlineStr">
        <is>
          <t>PD54832</t>
        </is>
      </c>
      <c r="N42" s="2" t="n">
        <v>19</v>
      </c>
      <c r="O42" s="2" t="inlineStr">
        <is>
          <t>0 / 0 / 19</t>
        </is>
      </c>
      <c r="P42" s="2" t="n">
        <v>13</v>
      </c>
      <c r="Q42" s="2" t="n">
        <v>19</v>
      </c>
      <c r="R42" s="4" t="inlineStr">
        <is>
          <t>complete</t>
        </is>
      </c>
      <c r="S42" s="5" t="inlineStr">
        <is>
          <t>no</t>
        </is>
      </c>
      <c r="T42" s="3" t="inlineStr">
        <is>
          <t>tree added 2026-10-10 (zeros outgroup dropped); colonies.tsv populated 2026-10-10 (iRODS, all tips); tips renamed lo00NN -&gt; PD54832b_lo00NN; tissue folder (peripheral_blood) not verified; submitted 2026-10-16 (job IDs not recorded), native GRCh37, results -&gt; /nfs/users/nfs_j/jd43/results/hsc_foldback2/PD54832; 49/49 colonies; done on farm 2026-10-17; results copied 2026-10-17 to ~/Documents/hsc_results/PD54832</t>
        </is>
      </c>
    </row>
    <row r="43">
      <c r="A43" s="2" t="inlineStr">
        <is>
          <t>PD51635</t>
        </is>
      </c>
      <c r="B43" s="2" t="inlineStr"/>
      <c r="C43" s="2" t="inlineStr">
        <is>
          <t>Kamizela 2025 Nature (CML)</t>
        </is>
      </c>
      <c r="D43" s="2" t="inlineStr">
        <is>
          <t>TP53 clade; BCR::ABL1</t>
        </is>
      </c>
      <c r="E43" s="3" t="inlineStr">
        <is>
          <t>L130F (BCR::ABL1-negative colony)</t>
        </is>
      </c>
      <c r="F43" s="2" t="inlineStr">
        <is>
          <t>PD51635</t>
        </is>
      </c>
      <c r="G43" s="2" t="inlineStr">
        <is>
          <t>GRCh38</t>
        </is>
      </c>
      <c r="H43" s="2" t="n">
        <v>117</v>
      </c>
      <c r="I43" s="4" t="inlineStr">
        <is>
          <t>done</t>
        </is>
      </c>
      <c r="J43" s="2" t="inlineStr">
        <is>
          <t>/lustre/scratch126/casm/teams/team273/users/jd43/hsc/PD51635/PD51635</t>
        </is>
      </c>
      <c r="K43" s="2" t="inlineStr">
        <is>
          <t>~42d6e74 (inferred, hsc-deploy 2026-10-06); report 700ecf8</t>
        </is>
      </c>
      <c r="L43" s="4" t="inlineStr">
        <is>
          <t>yes</t>
        </is>
      </c>
      <c r="M43" s="2" t="inlineStr">
        <is>
          <t>PD51635</t>
        </is>
      </c>
      <c r="N43" s="2" t="n">
        <v>102</v>
      </c>
      <c r="O43" s="2" t="inlineStr">
        <is>
          <t>10 / 15 / 77</t>
        </is>
      </c>
      <c r="P43" s="2" t="inlineStr"/>
      <c r="Q43" s="2" t="n">
        <v>30</v>
      </c>
      <c r="R43" s="2" t="inlineStr">
        <is>
          <t>29 %</t>
        </is>
      </c>
      <c r="S43" s="5" t="inlineStr">
        <is>
          <t>no</t>
        </is>
      </c>
      <c r="T43" s="3" t="inlineStr">
        <is>
          <t>first HSC patient; review export in ~/Documents/hsc_results/PD51635/review_export</t>
        </is>
      </c>
    </row>
    <row r="44">
      <c r="A44" s="2" t="inlineStr">
        <is>
          <t>PD51632</t>
        </is>
      </c>
      <c r="B44" s="2" t="inlineStr"/>
      <c r="C44" s="2" t="inlineStr">
        <is>
          <t>Kamizela 2025 Nature (CML)</t>
        </is>
      </c>
      <c r="D44" s="2" t="inlineStr">
        <is>
          <t>BCR::ABL1</t>
        </is>
      </c>
      <c r="E44" s="3" t="inlineStr"/>
      <c r="F44" s="2" t="inlineStr">
        <is>
          <t>PD51632</t>
        </is>
      </c>
      <c r="G44" s="2" t="inlineStr">
        <is>
          <t>GRCh38</t>
        </is>
      </c>
      <c r="H44" s="2" t="n">
        <v>83</v>
      </c>
      <c r="I44" s="4" t="inlineStr">
        <is>
          <t>done</t>
        </is>
      </c>
      <c r="J44" s="2" t="inlineStr">
        <is>
          <t>/lustre/scratch126/casm/teams/team273/users/jd43/hsc_foldback2/PD51632/PD51632</t>
        </is>
      </c>
      <c r="K44" s="2" t="inlineStr">
        <is>
          <t>1fcdc92 (annotate SV lift + PROVIRUS_LTR, somatic_table beta-binomial het gate)</t>
        </is>
      </c>
      <c r="L44" s="4" t="inlineStr">
        <is>
          <t>yes</t>
        </is>
      </c>
      <c r="M44" s="2" t="inlineStr">
        <is>
          <t>PD51632</t>
        </is>
      </c>
      <c r="N44" s="2" t="n">
        <v>30</v>
      </c>
      <c r="O44" s="2" t="inlineStr">
        <is>
          <t>2 / 1 / 27</t>
        </is>
      </c>
      <c r="P44" s="2" t="n">
        <v>5</v>
      </c>
      <c r="Q44" s="2" t="n">
        <v>3</v>
      </c>
      <c r="R44" s="2" t="inlineStr">
        <is>
          <t>10 %</t>
        </is>
      </c>
      <c r="S44" s="5" t="inlineStr">
        <is>
          <t>no</t>
        </is>
      </c>
      <c r="T44" s="3" t="inlineStr">
        <is>
          <t>submitted 2026-10-12, results -&gt; /nfs/users/nfs_j/jd43/results/hsc_foldback2/PD51632; 83/83 colonies GRCh38; done; results copied 2026-10-13 to ~/Documents/hsc_results/PD51632; tree_fit: 222 private, 2035 informative shared, 9028 germline</t>
        </is>
      </c>
    </row>
    <row r="45">
      <c r="A45" s="2" t="inlineStr">
        <is>
          <t>PD51633</t>
        </is>
      </c>
      <c r="B45" s="2" t="inlineStr"/>
      <c r="C45" s="2" t="inlineStr">
        <is>
          <t>Kamizela 2025 Nature (CML)</t>
        </is>
      </c>
      <c r="D45" s="2" t="inlineStr">
        <is>
          <t>BCR::ABL1</t>
        </is>
      </c>
      <c r="E45" s="3" t="inlineStr"/>
      <c r="F45" s="2" t="inlineStr">
        <is>
          <t>PD51633</t>
        </is>
      </c>
      <c r="G45" s="2" t="inlineStr">
        <is>
          <t>GRCh38</t>
        </is>
      </c>
      <c r="H45" s="2" t="n">
        <v>81</v>
      </c>
      <c r="I45" s="4" t="inlineStr">
        <is>
          <t>done</t>
        </is>
      </c>
      <c r="J45" s="2" t="inlineStr">
        <is>
          <t>/lustre/scratch126/casm/teams/team273/users/jd43/hsc_foldback2/PD51633/PD51633</t>
        </is>
      </c>
      <c r="K45" s="2" t="inlineStr">
        <is>
          <t>1fcdc92 (annotate SV lift + PROVIRUS_LTR, somatic_table beta-binomial het gate)</t>
        </is>
      </c>
      <c r="L45" s="4" t="inlineStr">
        <is>
          <t>yes</t>
        </is>
      </c>
      <c r="M45" s="2" t="inlineStr">
        <is>
          <t>PD51633</t>
        </is>
      </c>
      <c r="N45" s="2" t="n">
        <v>23</v>
      </c>
      <c r="O45" s="2" t="inlineStr">
        <is>
          <t>1 / 2 / 20</t>
        </is>
      </c>
      <c r="P45" s="2" t="n">
        <v>13</v>
      </c>
      <c r="Q45" s="2" t="n">
        <v>2</v>
      </c>
      <c r="R45" s="2" t="inlineStr">
        <is>
          <t>8 %</t>
        </is>
      </c>
      <c r="S45" s="5" t="inlineStr">
        <is>
          <t>no</t>
        </is>
      </c>
      <c r="T45" s="3" t="inlineStr">
        <is>
          <t>submitted 2026-10-12 19:09 (farm22-head2), LSF jobs 135445-135468, results -&gt; /nfs/users/nfs_j/jd43/results/hsc_foldback2/PD51633; 81/81 colonies GRCh38; done; results copied 2026-10-13 to ~/Documents/hsc_results/PD51633; tree_fit: 95 private, 2058 informative shared, 6183 germline</t>
        </is>
      </c>
    </row>
    <row r="46">
      <c r="A46" s="2" t="inlineStr">
        <is>
          <t>PD51634</t>
        </is>
      </c>
      <c r="B46" s="2" t="inlineStr"/>
      <c r="C46" s="2" t="inlineStr">
        <is>
          <t>Kamizela 2025 Nature (CML)</t>
        </is>
      </c>
      <c r="D46" s="2" t="inlineStr">
        <is>
          <t>BCR::ABL1</t>
        </is>
      </c>
      <c r="E46" s="3" t="inlineStr"/>
      <c r="F46" s="2" t="inlineStr">
        <is>
          <t>PD51634</t>
        </is>
      </c>
      <c r="G46" s="2" t="inlineStr">
        <is>
          <t>GRCh38</t>
        </is>
      </c>
      <c r="H46" s="2" t="n">
        <v>117</v>
      </c>
      <c r="I46" s="4" t="inlineStr">
        <is>
          <t>done</t>
        </is>
      </c>
      <c r="J46" s="2" t="inlineStr">
        <is>
          <t>/lustre/scratch126/casm/teams/team273/users/jd43/hsc_foldback2/PD51634/PD51634</t>
        </is>
      </c>
      <c r="K46" s="2" t="inlineStr">
        <is>
          <t>c72e5a6 (dense-filter removal + supp-twin exclusion in)</t>
        </is>
      </c>
      <c r="L46" s="4" t="inlineStr">
        <is>
          <t>yes</t>
        </is>
      </c>
      <c r="M46" s="2" t="inlineStr">
        <is>
          <t>PD51634</t>
        </is>
      </c>
      <c r="N46" s="2" t="n">
        <v>61</v>
      </c>
      <c r="O46" s="2" t="inlineStr">
        <is>
          <t>3 / 4 / 54</t>
        </is>
      </c>
      <c r="P46" s="2" t="n">
        <v>35</v>
      </c>
      <c r="Q46" s="2" t="n">
        <v>7</v>
      </c>
      <c r="R46" s="2" t="inlineStr">
        <is>
          <t>11 %</t>
        </is>
      </c>
      <c r="S46" s="5" t="inlineStr">
        <is>
          <t>no</t>
        </is>
      </c>
      <c r="T46" s="3" t="inlineStr">
        <is>
          <t>submitted 2026-10-11 08:16, LSF jobs 915507-915515; done, results copied 2026-10-12 to ~/Documents/hsc_results/PD51634 (from /nfs/users/nfs_j/jd43/results/hsc_foldback2/PD51634); 117/123 tips have a BAM: PD51634b (bulk?) and ch_lo0003/0007/0013/0026/0030 missing from the iRODS populate, run without them; tree_fit: 303 private, 2849 informative shared, 8348 germline</t>
        </is>
      </c>
    </row>
    <row r="47">
      <c r="A47" s="2" t="inlineStr">
        <is>
          <t>PD56961</t>
        </is>
      </c>
      <c r="B47" s="2" t="inlineStr"/>
      <c r="C47" s="2" t="inlineStr">
        <is>
          <t>Kamizela 2025 Nature (CML)</t>
        </is>
      </c>
      <c r="D47" s="2" t="inlineStr">
        <is>
          <t>BCR::ABL1</t>
        </is>
      </c>
      <c r="E47" s="3" t="inlineStr"/>
      <c r="F47" s="2" t="inlineStr">
        <is>
          <t>PD56961</t>
        </is>
      </c>
      <c r="G47" s="2" t="inlineStr">
        <is>
          <t>GRCh38</t>
        </is>
      </c>
      <c r="H47" s="2" t="n">
        <v>163</v>
      </c>
      <c r="I47" s="4" t="inlineStr">
        <is>
          <t>done</t>
        </is>
      </c>
      <c r="J47" s="2" t="inlineStr">
        <is>
          <t>/lustre/scratch126/casm/teams/team273/users/jd43/hsc_foldback2/PD56961/PD56961</t>
        </is>
      </c>
      <c r="K47" s="2" t="inlineStr">
        <is>
          <t>3bb7d22 (fold-back strand fix in; predates fa616a2 supp-twin exclusion + 9626905 dense-filter removal)</t>
        </is>
      </c>
      <c r="L47" s="4" t="inlineStr">
        <is>
          <t>yes</t>
        </is>
      </c>
      <c r="M47" s="2" t="inlineStr">
        <is>
          <t>PD56961</t>
        </is>
      </c>
      <c r="N47" s="2" t="n">
        <v>20</v>
      </c>
      <c r="O47" s="2" t="inlineStr">
        <is>
          <t>5 / 3 / 12</t>
        </is>
      </c>
      <c r="P47" s="2" t="n">
        <v>32</v>
      </c>
      <c r="Q47" s="2" t="n">
        <v>19</v>
      </c>
      <c r="R47" s="2" t="inlineStr">
        <is>
          <t>95 %</t>
        </is>
      </c>
      <c r="S47" s="5" t="inlineStr">
        <is>
          <t>no</t>
        </is>
      </c>
      <c r="T47" s="3" t="inlineStr">
        <is>
          <t>NEEDS RERUN (not scheduled): combine (2026-10-10) predates the dense-region filter removal (9626905) and the supplementary-clip twin exclusion (fa616a2); 163/163 colonies discovered + genotyped, somatic.xlsx + tree_fit written 2026-10-11 06:37</t>
        </is>
      </c>
    </row>
    <row r="48">
      <c r="A48" s="2" t="inlineStr">
        <is>
          <t>PD57332</t>
        </is>
      </c>
      <c r="B48" s="2" t="inlineStr"/>
      <c r="C48" s="2" t="inlineStr">
        <is>
          <t>Kamizela 2025 Nature (CML)</t>
        </is>
      </c>
      <c r="D48" s="2" t="inlineStr">
        <is>
          <t>BCR::ABL1</t>
        </is>
      </c>
      <c r="E48" s="3" t="inlineStr"/>
      <c r="F48" s="2" t="inlineStr">
        <is>
          <t>PD57332</t>
        </is>
      </c>
      <c r="G48" s="2" t="inlineStr">
        <is>
          <t>GRCh38</t>
        </is>
      </c>
      <c r="H48" s="2" t="n">
        <v>35</v>
      </c>
      <c r="I48" s="4" t="inlineStr">
        <is>
          <t>done</t>
        </is>
      </c>
      <c r="J48" s="2" t="inlineStr">
        <is>
          <t>/lustre/scratch126/casm/teams/team273/users/jd43/hsc_foldback2/PD57332/PD57332</t>
        </is>
      </c>
      <c r="K48" s="2" t="inlineStr">
        <is>
          <t>1fcdc92 (annotate SV lift + PROVIRUS_LTR, somatic_table beta-binomial het gate)</t>
        </is>
      </c>
      <c r="L48" s="4" t="inlineStr">
        <is>
          <t>yes</t>
        </is>
      </c>
      <c r="M48" s="2" t="inlineStr">
        <is>
          <t>PD57332</t>
        </is>
      </c>
      <c r="N48" s="2" t="n">
        <v>10</v>
      </c>
      <c r="O48" s="2" t="inlineStr">
        <is>
          <t>2 / 2 / 6</t>
        </is>
      </c>
      <c r="P48" s="2" t="n">
        <v>9</v>
      </c>
      <c r="Q48" s="2" t="n">
        <v>10</v>
      </c>
      <c r="R48" s="4" t="inlineStr">
        <is>
          <t>complete</t>
        </is>
      </c>
      <c r="S48" s="5" t="inlineStr">
        <is>
          <t>no</t>
        </is>
      </c>
      <c r="T48" s="3" t="inlineStr">
        <is>
          <t>submitted 2026-10-13 03:46 (farm22-head2), LSF jobs 244897-244907, results -&gt; /nfs/users/nfs_j/jd43/results/hsc_foldback2/PD57332; 35/35 colonies GRCh38; done; results copied 2026-10-13 to ~/Documents/hsc_results/PD57332; tree_fit: 59 private, 1184 informative shared, 5502 germline</t>
        </is>
      </c>
    </row>
    <row r="49">
      <c r="A49" s="2" t="inlineStr">
        <is>
          <t>PD57333</t>
        </is>
      </c>
      <c r="B49" s="2" t="inlineStr"/>
      <c r="C49" s="2" t="inlineStr">
        <is>
          <t>Kamizela 2025 Nature (CML)</t>
        </is>
      </c>
      <c r="D49" s="2" t="inlineStr">
        <is>
          <t>BCR::ABL1</t>
        </is>
      </c>
      <c r="E49" s="3" t="inlineStr"/>
      <c r="F49" s="2" t="inlineStr">
        <is>
          <t>PD57333</t>
        </is>
      </c>
      <c r="G49" s="2" t="inlineStr">
        <is>
          <t>GRCh38</t>
        </is>
      </c>
      <c r="H49" s="2" t="n">
        <v>75</v>
      </c>
      <c r="I49" s="4" t="inlineStr">
        <is>
          <t>done</t>
        </is>
      </c>
      <c r="J49" s="2" t="inlineStr">
        <is>
          <t>/lustre/scratch126/casm/teams/team273/users/jd43/hsc_foldback2/PD57333/PD57333</t>
        </is>
      </c>
      <c r="K49" s="2" t="inlineStr">
        <is>
          <t>1fcdc92 (annotate SV lift + PROVIRUS_LTR, somatic_table beta-binomial het gate)</t>
        </is>
      </c>
      <c r="L49" s="4" t="inlineStr">
        <is>
          <t>yes</t>
        </is>
      </c>
      <c r="M49" s="2" t="inlineStr">
        <is>
          <t>PD57333</t>
        </is>
      </c>
      <c r="N49" s="2" t="n">
        <v>46</v>
      </c>
      <c r="O49" s="2" t="inlineStr">
        <is>
          <t>1 / 2 / 43</t>
        </is>
      </c>
      <c r="P49" s="2" t="n">
        <v>115</v>
      </c>
      <c r="Q49" s="2" t="n">
        <v>46</v>
      </c>
      <c r="R49" s="4" t="inlineStr">
        <is>
          <t>complete</t>
        </is>
      </c>
      <c r="S49" s="5" t="inlineStr">
        <is>
          <t>no</t>
        </is>
      </c>
      <c r="T49" s="3" t="inlineStr">
        <is>
          <t>submitted ~2026-10-13 (job IDs not recorded); done 2026-10-15, results in /nfs/users/nfs_j/jd43/results/hsc_foldback2/PD57333; 75/75 colonies GRCh38; results copied 2026-10-16 to ~/Documents/hsc_results/PD57333; tree_fit: 234 private, 2010 informative shared, 8077 germline</t>
        </is>
      </c>
    </row>
    <row r="50">
      <c r="A50" s="2" t="inlineStr">
        <is>
          <t>PD57334</t>
        </is>
      </c>
      <c r="B50" s="2" t="inlineStr"/>
      <c r="C50" s="2" t="inlineStr">
        <is>
          <t>Kamizela 2025 Nature (CML)</t>
        </is>
      </c>
      <c r="D50" s="2" t="inlineStr">
        <is>
          <t>BCR::ABL1</t>
        </is>
      </c>
      <c r="E50" s="3" t="inlineStr"/>
      <c r="F50" s="2" t="inlineStr">
        <is>
          <t>PD57334</t>
        </is>
      </c>
      <c r="G50" s="2" t="inlineStr">
        <is>
          <t>GRCh38</t>
        </is>
      </c>
      <c r="H50" s="2" t="n">
        <v>55</v>
      </c>
      <c r="I50" s="4" t="inlineStr">
        <is>
          <t>done</t>
        </is>
      </c>
      <c r="J50" s="2" t="inlineStr">
        <is>
          <t>/lustre/scratch126/casm/teams/team273/users/jd43/hsc_foldback2/PD57334/PD57334</t>
        </is>
      </c>
      <c r="K50" s="2" t="inlineStr">
        <is>
          <t>1fcdc92 (annotate SV lift + PROVIRUS_LTR, somatic_table beta-binomial het gate)</t>
        </is>
      </c>
      <c r="L50" s="4" t="inlineStr">
        <is>
          <t>yes</t>
        </is>
      </c>
      <c r="M50" s="2" t="inlineStr">
        <is>
          <t>PD57334</t>
        </is>
      </c>
      <c r="N50" s="2" t="n">
        <v>114</v>
      </c>
      <c r="O50" s="2" t="inlineStr">
        <is>
          <t>9 / 16 / 89</t>
        </is>
      </c>
      <c r="P50" s="2" t="n">
        <v>58</v>
      </c>
      <c r="Q50" s="2" t="n">
        <v>114</v>
      </c>
      <c r="R50" s="4" t="inlineStr">
        <is>
          <t>complete</t>
        </is>
      </c>
      <c r="S50" s="5" t="inlineStr">
        <is>
          <t>no</t>
        </is>
      </c>
      <c r="T50" s="3" t="inlineStr">
        <is>
          <t>submitted ~2026-10-13 (job IDs not recorded); done 2026-10-15, results in /nfs/users/nfs_j/jd43/results/hsc_foldback2/PD57334; 55/55 colonies GRCh38; results copied 2026-10-15 to ~/Documents/hsc_results/PD57334; tree_fit: 328 private, 2093 informative shared, 7410 germline</t>
        </is>
      </c>
    </row>
    <row r="51">
      <c r="A51" s="2" t="inlineStr">
        <is>
          <t>PD57335</t>
        </is>
      </c>
      <c r="B51" s="2" t="inlineStr"/>
      <c r="C51" s="2" t="inlineStr">
        <is>
          <t>Kamizela 2025 Nature (CML)</t>
        </is>
      </c>
      <c r="D51" s="2" t="inlineStr">
        <is>
          <t>BCR::ABL1</t>
        </is>
      </c>
      <c r="E51" s="3" t="inlineStr"/>
      <c r="F51" s="2" t="inlineStr">
        <is>
          <t>PD57335</t>
        </is>
      </c>
      <c r="G51" s="2" t="inlineStr">
        <is>
          <t>GRCh38</t>
        </is>
      </c>
      <c r="H51" s="2" t="n">
        <v>102</v>
      </c>
      <c r="I51" s="4" t="inlineStr">
        <is>
          <t>done</t>
        </is>
      </c>
      <c r="J51" s="2" t="inlineStr">
        <is>
          <t>/lustre/scratch126/casm/teams/team273/users/jd43/hsc_foldback2/PD57335/PD57335</t>
        </is>
      </c>
      <c r="K51" s="2" t="inlineStr">
        <is>
          <t>1fcdc92 (annotate SV lift + PROVIRUS_LTR, somatic_table beta-binomial het gate)</t>
        </is>
      </c>
      <c r="L51" s="4" t="inlineStr">
        <is>
          <t>yes</t>
        </is>
      </c>
      <c r="M51" s="2" t="inlineStr">
        <is>
          <t>PD57335</t>
        </is>
      </c>
      <c r="N51" s="2" t="n">
        <v>30</v>
      </c>
      <c r="O51" s="2" t="inlineStr">
        <is>
          <t>1 / 1 / 28</t>
        </is>
      </c>
      <c r="P51" s="2" t="n">
        <v>24</v>
      </c>
      <c r="Q51" s="2" t="n">
        <v>30</v>
      </c>
      <c r="R51" s="4" t="inlineStr">
        <is>
          <t>complete</t>
        </is>
      </c>
      <c r="S51" s="5" t="inlineStr">
        <is>
          <t>no</t>
        </is>
      </c>
      <c r="T51" s="3" t="inlineStr">
        <is>
          <t>submitted 2026-10-15 05:24, LSF jobs 699021-699042, results -&gt; /nfs/users/nfs_j/jd43/results/hsc_foldback2/PD57335; 102/102 colonies GRCh38; results copied 2026-10-17 to ~/Documents/hsc_results/PD57335</t>
        </is>
      </c>
    </row>
  </sheetData>
  <autoFilter ref="A1:T51"/>
  <dataValidations count="2">
    <dataValidation sqref="I2:I51" showDropDown="0" showInputMessage="0" showErrorMessage="0" allowBlank="1" type="list">
      <formula1>"not run,submitted,running,report incomplete,done,failed"</formula1>
    </dataValidation>
    <dataValidation sqref="S2:S5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7" t="inlineStr">
        <is>
          <t>Run tracker</t>
        </is>
      </c>
      <c r="B1" t="inlineStr">
        <is>
          <t>refreshed 2026-10-20 05:34</t>
        </is>
      </c>
    </row>
    <row r="3">
      <c r="A3" s="8" t="inlineStr"/>
      <c r="B3" s="8" t="inlineStr">
        <is>
          <t>patients</t>
        </is>
      </c>
      <c r="C3" s="8" t="inlineStr">
        <is>
          <t>farm run done</t>
        </is>
      </c>
      <c r="D3" s="8" t="inlineStr">
        <is>
          <t>data local</t>
        </is>
      </c>
      <c r="E3" s="8" t="inlineStr">
        <is>
          <t>review signed off</t>
        </is>
      </c>
    </row>
    <row r="4">
      <c r="A4" t="inlineStr">
        <is>
          <t>TP53 clade</t>
        </is>
      </c>
      <c r="B4" t="n">
        <v>18</v>
      </c>
      <c r="C4" t="n">
        <v>11</v>
      </c>
      <c r="D4" t="n">
        <v>12</v>
      </c>
      <c r="E4" t="n">
        <v>0</v>
      </c>
    </row>
    <row r="5">
      <c r="A5" t="inlineStr">
        <is>
          <t>BCR::ABL1</t>
        </is>
      </c>
      <c r="B5" t="n">
        <v>9</v>
      </c>
      <c r="C5" t="n">
        <v>9</v>
      </c>
      <c r="D5" t="n">
        <v>9</v>
      </c>
      <c r="E5" t="n">
        <v>0</v>
      </c>
    </row>
    <row r="6">
      <c r="A6" t="inlineStr">
        <is>
          <t>transplant pair (people)</t>
        </is>
      </c>
      <c r="B6" t="n">
        <v>20</v>
      </c>
      <c r="C6" t="n">
        <v>0</v>
      </c>
      <c r="D6" t="n">
        <v>0</v>
      </c>
      <c r="E6" t="n">
        <v>0</v>
      </c>
    </row>
    <row r="7">
      <c r="A7" t="inlineStr">
        <is>
          <t>Shwachman-Diamond (SBDS)</t>
        </is>
      </c>
      <c r="B7" t="n">
        <v>11</v>
      </c>
      <c r="C7" t="n">
        <v>11</v>
      </c>
      <c r="D7" t="n">
        <v>11</v>
      </c>
      <c r="E7" t="n">
        <v>0</v>
      </c>
    </row>
    <row r="8">
      <c r="A8" t="inlineStr">
        <is>
          <t>sickle-cell gene therapy (SCD)</t>
        </is>
      </c>
      <c r="B8" t="n">
        <v>6</v>
      </c>
      <c r="C8" t="n">
        <v>0</v>
      </c>
      <c r="D8" t="n">
        <v>1</v>
      </c>
      <c r="E8" t="n">
        <v>0</v>
      </c>
    </row>
    <row r="9">
      <c r="A9" t="inlineStr">
        <is>
          <t>all</t>
        </is>
      </c>
      <c r="B9" t="n">
        <v>50</v>
      </c>
      <c r="C9" t="n">
        <v>22</v>
      </c>
      <c r="D9" t="n">
        <v>23</v>
      </c>
      <c r="E9" t="n">
        <v>0</v>
      </c>
    </row>
    <row r="11">
      <c r="A11" t="inlineStr">
        <is>
          <t>Rows with the same Run unit (transplant donor + recipient, SDS5's two time points) are ONE run on one shared tree: Farm run, run dir, commit, results and sign-off are kept identical across them; editing one row updates the others. hsc_run.sh refuses to submit one PD id of a unit alone.</t>
        </is>
      </c>
    </row>
    <row r="12">
      <c r="A12" t="inlineStr">
        <is>
          <t>Manual columns (edit here, they survive a rebuild): Farm run, Farm run dir, PEAR-TREE commit, Results dir, Review signed off, Notes.</t>
        </is>
      </c>
    </row>
    <row r="13">
      <c r="A13" t="inlineStr">
        <is>
          <t>Automatic columns (rebuilt from ~/Documents/hsc_results): Colonies, Data local, Somatic rows, Tiers, Excluded, Reviewed (insertion_review verdicts), Review progress.</t>
        </is>
      </c>
    </row>
    <row r="14">
      <c r="A14" t="inlineStr">
        <is>
          <t>A commit starting with '~' was inferred from dates, not recorded by the run; runs submitted after pipeline.sh started stamping PT_COMMIT into run.env show the real one.</t>
        </is>
      </c>
    </row>
    <row r="15">
      <c r="A15" t="inlineStr">
        <is>
          <t>Rebuild: python3 cluster/run_tracker.py   (roster: patients/run_tracker.tsv)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 id</t>
        </is>
      </c>
      <c r="B1" t="inlineStr">
        <is>
          <t>Role</t>
        </is>
      </c>
      <c r="C1" t="inlineStr">
        <is>
          <t>Cohort</t>
        </is>
      </c>
      <c r="D1" t="inlineStr">
        <is>
          <t>Why tracked</t>
        </is>
      </c>
      <c r="E1" t="inlineStr">
        <is>
          <t>TP53 on tree</t>
        </is>
      </c>
      <c r="F1" t="inlineStr">
        <is>
          <t>Run unit (analysed together)</t>
        </is>
      </c>
      <c r="G1" t="inlineStr">
        <is>
          <t>Assembly</t>
        </is>
      </c>
      <c r="H1" t="inlineStr">
        <is>
          <t>Colonies</t>
        </is>
      </c>
      <c r="I1" t="inlineStr">
        <is>
          <t>Farm run</t>
        </is>
      </c>
      <c r="J1" t="inlineStr">
        <is>
          <t>Farm run dir</t>
        </is>
      </c>
      <c r="K1" t="inlineStr">
        <is>
          <t>PEAR-TREE commit</t>
        </is>
      </c>
      <c r="L1" t="inlineStr">
        <is>
          <t>Data local</t>
        </is>
      </c>
      <c r="M1" t="inlineStr">
        <is>
          <t>Results dir</t>
        </is>
      </c>
      <c r="N1" t="inlineStr">
        <is>
          <t>Somatic rows</t>
        </is>
      </c>
      <c r="O1" t="inlineStr">
        <is>
          <t>Tier B / C / D</t>
        </is>
      </c>
      <c r="P1" t="inlineStr">
        <is>
          <t>Excluded</t>
        </is>
      </c>
      <c r="Q1" t="inlineStr">
        <is>
          <t>Reviewed</t>
        </is>
      </c>
      <c r="R1" t="inlineStr">
        <is>
          <t>Review progress</t>
        </is>
      </c>
      <c r="S1" t="inlineStr">
        <is>
          <t>Review signed off</t>
        </is>
      </c>
      <c r="T1" t="inlineStr">
        <is>
          <t>Notes</t>
        </is>
      </c>
    </row>
    <row r="2">
      <c r="A2" t="inlineStr">
        <is>
          <t>PD37580</t>
        </is>
      </c>
      <c r="B2" t="inlineStr">
        <is>
          <t>PX007</t>
        </is>
      </c>
      <c r="C2" t="inlineStr">
        <is>
          <t>Mitchell 2025 Nat Genet (chemo)</t>
        </is>
      </c>
      <c r="D2" t="inlineStr">
        <is>
          <t>TP53 clade</t>
        </is>
      </c>
      <c r="E2" t="inlineStr">
        <is>
          <t>I195F+C176Y (8 col), Y234C (3), K132R (2), S241C, K120M</t>
        </is>
      </c>
      <c r="F2" t="inlineStr">
        <is>
          <t>PD37580</t>
        </is>
      </c>
      <c r="G2" t="inlineStr">
        <is>
          <t>GRCh37</t>
        </is>
      </c>
      <c r="H2" t="n">
        <v>84</v>
      </c>
      <c r="I2" t="inlineStr">
        <is>
          <t>done</t>
        </is>
      </c>
      <c r="J2" t="inlineStr">
        <is>
          <t>/lustre/scratch126/casm/teams/team273/users/jd43/hsc/PD37580/PD37580</t>
        </is>
      </c>
      <c r="K2" t="inlineStr">
        <is>
          <t>~08dbac3 (inferred, hsc-deploy 2026-10-07); report 700ecf8</t>
        </is>
      </c>
      <c r="L2" t="inlineStr">
        <is>
          <t>yes</t>
        </is>
      </c>
      <c r="M2" t="inlineStr">
        <is>
          <t>PD37580</t>
        </is>
      </c>
      <c r="N2" t="n">
        <v>20</v>
      </c>
      <c r="O2" t="inlineStr">
        <is>
          <t>1 / 2 / 17</t>
        </is>
      </c>
      <c r="P2" t="inlineStr"/>
      <c r="Q2" t="n">
        <v>20</v>
      </c>
      <c r="R2" t="inlineStr">
        <is>
          <t>complete</t>
        </is>
      </c>
      <c r="S2" t="inlineStr">
        <is>
          <t>no</t>
        </is>
      </c>
      <c r="T2" t="inlineStr">
        <is>
          <t>native GRCh37 run 2026-10-07; old-pipeline results also in ~/Documents/retrotransposons_sanger/results/PD37580</t>
        </is>
      </c>
    </row>
    <row r="3">
      <c r="A3" t="inlineStr">
        <is>
          <t>PD47703</t>
        </is>
      </c>
      <c r="B3" t="inlineStr">
        <is>
          <t>PX001</t>
        </is>
      </c>
      <c r="C3" t="inlineStr">
        <is>
          <t>Mitchell 2025 Nat Genet (chemo)</t>
        </is>
      </c>
      <c r="D3" t="inlineStr">
        <is>
          <t>TP53 clade</t>
        </is>
      </c>
      <c r="E3" t="inlineStr">
        <is>
          <t>P128fs, V274A (tree 1); V172F (tree 2)</t>
        </is>
      </c>
      <c r="F3" t="inlineStr">
        <is>
          <t>PD47703</t>
        </is>
      </c>
      <c r="G3" t="inlineStr">
        <is>
          <t>GRCh37</t>
        </is>
      </c>
      <c r="H3" t="n">
        <v>259</v>
      </c>
      <c r="I3" t="inlineStr">
        <is>
          <t>queued</t>
        </is>
      </c>
      <c r="J3" t="inlineStr">
        <is>
          <t>/lustre/scratch126/casm/teams/team273/users/jd43/hsc_foldback2/PD47703/PD47703</t>
        </is>
      </c>
      <c r="K3" t="inlineStr">
        <is>
          <t>1fcdc92 (annotate SV lift + PROVIRUS_LTR, somatic_table beta-binomial het gate); checkout f01828e (+ hsc_chain.sh, no pipeline change)</t>
        </is>
      </c>
      <c r="L3" t="inlineStr">
        <is>
          <t>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no</t>
        </is>
      </c>
      <c r="T3" t="inlineStr">
        <is>
          <t>old-pipeline results only (~/Documents/retrotransposons_sanger/results/PD47703); chain-submitted 2026-10-18 (cluster/hsc_chain.sh), native GRCh37, sd 344581, cleanup 344588, stage+discover waits on ended(344578), results -&gt; /nfs/users/nfs_j/jd43/results/hsc_foldback2/PD47703</t>
        </is>
      </c>
    </row>
    <row r="4">
      <c r="A4" t="inlineStr">
        <is>
          <t>PD45534</t>
        </is>
      </c>
      <c r="B4" t="inlineStr">
        <is>
          <t>KX004</t>
        </is>
      </c>
      <c r="C4" t="inlineStr">
        <is>
          <t>Mitchell 2022 Nature (ageing)</t>
        </is>
      </c>
      <c r="D4" t="inlineStr">
        <is>
          <t>TP53 clade</t>
        </is>
      </c>
      <c r="E4" t="inlineStr">
        <is>
          <t>V157I</t>
        </is>
      </c>
      <c r="F4" t="inlineStr">
        <is>
          <t>PD45534</t>
        </is>
      </c>
      <c r="G4" t="inlineStr">
        <is>
          <t>GRCh38</t>
        </is>
      </c>
      <c r="H4" t="n">
        <v>922</v>
      </c>
      <c r="I4" t="inlineStr">
        <is>
          <t>queued</t>
        </is>
      </c>
      <c r="J4" t="inlineStr">
        <is>
          <t>/lustre/scratch126/casm/teams/team273/users/jd43/hsc_foldback2/PD45534/PD45534</t>
        </is>
      </c>
      <c r="K4" t="inlineStr">
        <is>
          <t>1fcdc92 (annotate SV lift + PROVIRUS_LTR, somatic_table beta-binomial het gate); checkout f01828e (+ hsc_chain.sh, no pipeline change)</t>
        </is>
      </c>
      <c r="L4" t="inlineStr">
        <is>
          <t>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no</t>
        </is>
      </c>
      <c r="T4" t="inlineStr">
        <is>
          <t>SETTLED 2026-10-10: repopulated preferring GRCh38 -&gt; all 922 colonies GRCh38 (450 proj 2450, 472 proj 3819; old mixed file kept as colonies.tsv.bak.20261010040433). Old-pipeline results in ~/Documents/retrotransposons_sanger/results/PD45534; chain-submitted 2026-10-18 (cluster/hsc_chain.sh), native GRCh38, sd 344703, cleanup 344711, stage+discover waits on ended(344700), results -&gt; /nfs/users/nfs_j/jd43/results/hsc_foldback2/PD45534</t>
        </is>
      </c>
    </row>
    <row r="5">
      <c r="A5" t="inlineStr">
        <is>
          <t>PD45792</t>
        </is>
      </c>
      <c r="B5" t="inlineStr">
        <is>
          <t>Pair11 donor</t>
        </is>
      </c>
      <c r="C5" t="inlineStr">
        <is>
          <t>Spencer Chapman 2024 Nature (allo-HCT)</t>
        </is>
      </c>
      <c r="D5" t="inlineStr">
        <is>
          <t>TP53 clade; transplant pair</t>
        </is>
      </c>
      <c r="E5" t="inlineStr">
        <is>
          <t>R273H</t>
        </is>
      </c>
      <c r="F5" t="inlineStr">
        <is>
          <t>Pair11_PD45792_PD45793</t>
        </is>
      </c>
      <c r="G5" t="inlineStr">
        <is>
          <t>GRCh37</t>
        </is>
      </c>
      <c r="H5" t="n">
        <v>179</v>
      </c>
      <c r="I5" t="inlineStr">
        <is>
          <t>queued</t>
        </is>
      </c>
      <c r="J5" t="inlineStr">
        <is>
          <t>/lustre/scratch126/casm/teams/team273/users/jd43/hsc_foldback2/Pair11_PD45792_PD45793/Pair11_PD45792_PD45793</t>
        </is>
      </c>
      <c r="K5" t="inlineStr">
        <is>
          <t>1fcdc92 (annotate SV lift + PROVIRUS_LTR, somatic_table beta-binomial het gate); checkout f01828e (+ hsc_chain.sh, no pipeline change)</t>
        </is>
      </c>
      <c r="L5" t="inlineStr">
        <is>
          <t>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no</t>
        </is>
      </c>
      <c r="T5" t="inlineStr">
        <is>
          <t>; chain-submitted 2026-10-18 (cluster/hsc_chain.sh), native GRCh37, sd 344646, cleanup 344654, stage+discover waits on ended(344642), results -&gt; /nfs/users/nfs_j/jd43/results/hsc_foldback2/Pair11_PD45792_PD45793</t>
        </is>
      </c>
    </row>
    <row r="6">
      <c r="A6" t="inlineStr">
        <is>
          <t>PD45793</t>
        </is>
      </c>
      <c r="B6" t="inlineStr">
        <is>
          <t>Pair11 recipient</t>
        </is>
      </c>
      <c r="C6" t="inlineStr">
        <is>
          <t>Spencer Chapman 2024 Nature (allo-HCT)</t>
        </is>
      </c>
      <c r="D6" t="inlineStr">
        <is>
          <t>transplant pair</t>
        </is>
      </c>
      <c r="E6" t="inlineStr"/>
      <c r="F6" t="inlineStr">
        <is>
          <t>Pair11_PD45792_PD45793</t>
        </is>
      </c>
      <c r="G6" t="inlineStr">
        <is>
          <t>GRCh37</t>
        </is>
      </c>
      <c r="H6" t="n">
        <v>146</v>
      </c>
      <c r="I6" t="inlineStr">
        <is>
          <t>queued</t>
        </is>
      </c>
      <c r="J6" t="inlineStr">
        <is>
          <t>/lustre/scratch126/casm/teams/team273/users/jd43/hsc_foldback2/Pair11_PD45792_PD45793/Pair11_PD45792_PD45793</t>
        </is>
      </c>
      <c r="K6" t="inlineStr">
        <is>
          <t>1fcdc92 (annotate SV lift + PROVIRUS_LTR, somatic_table beta-binomial het gate); checkout f01828e (+ hsc_chain.sh, no pipeline change)</t>
        </is>
      </c>
      <c r="L6" t="inlineStr">
        <is>
          <t>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no</t>
        </is>
      </c>
      <c r="T6" t="inlineStr">
        <is>
          <t>; chain-submitted 2026-10-18 (cluster/hsc_chain.sh), native GRCh37, sd 344646, cleanup 344654, stage+discover waits on ended(344642), results -&gt; /nfs/users/nfs_j/jd43/results/hsc_foldback2/Pair11_PD45792_PD45793</t>
        </is>
      </c>
    </row>
    <row r="7">
      <c r="A7" t="inlineStr">
        <is>
          <t>PD45794</t>
        </is>
      </c>
      <c r="B7" t="inlineStr">
        <is>
          <t>Pair13 donor</t>
        </is>
      </c>
      <c r="C7" t="inlineStr">
        <is>
          <t>Spencer Chapman 2024 Nature (allo-HCT)</t>
        </is>
      </c>
      <c r="D7" t="inlineStr">
        <is>
          <t>TP53 clade; transplant pair</t>
        </is>
      </c>
      <c r="E7" t="inlineStr">
        <is>
          <t>R158H</t>
        </is>
      </c>
      <c r="F7" t="inlineStr">
        <is>
          <t>Pair13_PD45794_PD45795</t>
        </is>
      </c>
      <c r="G7" t="inlineStr">
        <is>
          <t>GRCh37</t>
        </is>
      </c>
      <c r="H7" t="n">
        <v>104</v>
      </c>
      <c r="I7" t="inlineStr">
        <is>
          <t>queued</t>
        </is>
      </c>
      <c r="J7" t="inlineStr">
        <is>
          <t>/lustre/scratch126/casm/teams/team273/users/jd43/hsc_foldback2/Pair13_PD45794_PD45795/Pair13_PD45794_PD45795</t>
        </is>
      </c>
      <c r="K7" t="inlineStr">
        <is>
          <t>1fcdc92 (annotate SV lift + PROVIRUS_LTR, somatic_table beta-binomial het gate); checkout f01828e (+ hsc_chain.sh, no pipeline change)</t>
        </is>
      </c>
      <c r="L7" t="inlineStr">
        <is>
          <t>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no</t>
        </is>
      </c>
      <c r="T7" t="inlineStr">
        <is>
          <t>; chain-submitted 2026-10-18 (cluster/hsc_chain.sh), native GRCh37, sd 344632, cleanup 344642, stage+discover waits on ended(344627), results -&gt; /nfs/users/nfs_j/jd43/results/hsc_foldback2/Pair13_PD45794_PD45795</t>
        </is>
      </c>
    </row>
    <row r="8">
      <c r="A8" t="inlineStr">
        <is>
          <t>PD45795</t>
        </is>
      </c>
      <c r="B8" t="inlineStr">
        <is>
          <t>Pair13 recipient</t>
        </is>
      </c>
      <c r="C8" t="inlineStr">
        <is>
          <t>Spencer Chapman 2024 Nature (allo-HCT)</t>
        </is>
      </c>
      <c r="D8" t="inlineStr">
        <is>
          <t>transplant pair</t>
        </is>
      </c>
      <c r="E8" t="inlineStr"/>
      <c r="F8" t="inlineStr">
        <is>
          <t>Pair13_PD45794_PD45795</t>
        </is>
      </c>
      <c r="G8" t="inlineStr">
        <is>
          <t>GRCh37</t>
        </is>
      </c>
      <c r="H8" t="n">
        <v>194</v>
      </c>
      <c r="I8" t="inlineStr">
        <is>
          <t>queued</t>
        </is>
      </c>
      <c r="J8" t="inlineStr">
        <is>
          <t>/lustre/scratch126/casm/teams/team273/users/jd43/hsc_foldback2/Pair13_PD45794_PD45795/Pair13_PD45794_PD45795</t>
        </is>
      </c>
      <c r="K8" t="inlineStr">
        <is>
          <t>1fcdc92 (annotate SV lift + PROVIRUS_LTR, somatic_table beta-binomial het gate); checkout f01828e (+ hsc_chain.sh, no pipeline change)</t>
        </is>
      </c>
      <c r="L8" t="inlineStr">
        <is>
          <t>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no</t>
        </is>
      </c>
      <c r="T8" t="inlineStr">
        <is>
          <t>; chain-submitted 2026-10-18 (cluster/hsc_chain.sh), native GRCh37, sd 344632, cleanup 344642, stage+discover waits on ended(344627), results -&gt; /nfs/users/nfs_j/jd43/results/hsc_foldback2/Pair13_PD45794_PD45795</t>
        </is>
      </c>
    </row>
    <row r="9">
      <c r="A9" t="inlineStr">
        <is>
          <t>PD45808</t>
        </is>
      </c>
      <c r="B9" t="inlineStr">
        <is>
          <t>Pair38 donor</t>
        </is>
      </c>
      <c r="C9" t="inlineStr">
        <is>
          <t>Spencer Chapman 2024 Nature (allo-HCT)</t>
        </is>
      </c>
      <c r="D9" t="inlineStr">
        <is>
          <t>transplant pair</t>
        </is>
      </c>
      <c r="E9" t="inlineStr"/>
      <c r="F9" t="inlineStr">
        <is>
          <t>Pair38_PD45808_PD45809</t>
        </is>
      </c>
      <c r="G9" t="inlineStr">
        <is>
          <t>GRCh37</t>
        </is>
      </c>
      <c r="H9" t="n">
        <v>143</v>
      </c>
      <c r="I9" t="inlineStr">
        <is>
          <t>queued</t>
        </is>
      </c>
      <c r="J9" t="inlineStr">
        <is>
          <t>/lustre/scratch126/casm/teams/team273/users/jd43/hsc_foldback2/Pair38_PD45808_PD45809/Pair38_PD45808_PD45809</t>
        </is>
      </c>
      <c r="K9" t="inlineStr">
        <is>
          <t>1fcdc92 (annotate SV lift + PROVIRUS_LTR, somatic_table beta-binomial het gate); checkout f01828e (+ hsc_chain.sh, no pipeline change)</t>
        </is>
      </c>
      <c r="L9" t="inlineStr">
        <is>
          <t>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no</t>
        </is>
      </c>
      <c r="T9" t="inlineStr">
        <is>
          <t>; chain-submitted 2026-10-18 (cluster/hsc_chain.sh), native GRCh37, sd 344569, cleanup 344578, stage+discover waits on ended(344561), results -&gt; /nfs/users/nfs_j/jd43/results/hsc_foldback2/Pair38_PD45808_PD45809</t>
        </is>
      </c>
    </row>
    <row r="10">
      <c r="A10" t="inlineStr">
        <is>
          <t>PD45809</t>
        </is>
      </c>
      <c r="B10" t="inlineStr">
        <is>
          <t>Pair38 recipient</t>
        </is>
      </c>
      <c r="C10" t="inlineStr">
        <is>
          <t>Spencer Chapman 2024 Nature (allo-HCT)</t>
        </is>
      </c>
      <c r="D10" t="inlineStr">
        <is>
          <t>TP53 clade; transplant pair</t>
        </is>
      </c>
      <c r="E10" t="inlineStr">
        <is>
          <t>V272M (2 tips = duplicate pair, one clone)</t>
        </is>
      </c>
      <c r="F10" t="inlineStr">
        <is>
          <t>Pair38_PD45808_PD45809</t>
        </is>
      </c>
      <c r="G10" t="inlineStr">
        <is>
          <t>GRCh37</t>
        </is>
      </c>
      <c r="H10" t="n">
        <v>109</v>
      </c>
      <c r="I10" t="inlineStr">
        <is>
          <t>queued</t>
        </is>
      </c>
      <c r="J10" t="inlineStr">
        <is>
          <t>/lustre/scratch126/casm/teams/team273/users/jd43/hsc_foldback2/Pair38_PD45808_PD45809/Pair38_PD45808_PD45809</t>
        </is>
      </c>
      <c r="K10" t="inlineStr">
        <is>
          <t>1fcdc92 (annotate SV lift + PROVIRUS_LTR, somatic_table beta-binomial het gate); checkout f01828e (+ hsc_chain.sh, no pipeline change)</t>
        </is>
      </c>
      <c r="L10" t="inlineStr">
        <is>
          <t>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no</t>
        </is>
      </c>
      <c r="T10" t="inlineStr">
        <is>
          <t>; chain-submitted 2026-10-18 (cluster/hsc_chain.sh), native GRCh37, sd 344569, cleanup 344578, stage+discover waits on ended(344561), results -&gt; /nfs/users/nfs_j/jd43/results/hsc_foldback2/Pair38_PD45808_PD45809</t>
        </is>
      </c>
    </row>
    <row r="11">
      <c r="A11" t="inlineStr">
        <is>
          <t>PD45810</t>
        </is>
      </c>
      <c r="B11" t="inlineStr">
        <is>
          <t>Pair40 donor</t>
        </is>
      </c>
      <c r="C11" t="inlineStr">
        <is>
          <t>Spencer Chapman 2024 Nature (allo-HCT)</t>
        </is>
      </c>
      <c r="D11" t="inlineStr">
        <is>
          <t>transplant pair</t>
        </is>
      </c>
      <c r="E11" t="inlineStr"/>
      <c r="F11" t="inlineStr">
        <is>
          <t>Pair40_PD45810_PD45811</t>
        </is>
      </c>
      <c r="G11" t="inlineStr">
        <is>
          <t>GRCh37</t>
        </is>
      </c>
      <c r="H11" t="n">
        <v>143</v>
      </c>
      <c r="I11" t="inlineStr">
        <is>
          <t>queued</t>
        </is>
      </c>
      <c r="J11" t="inlineStr">
        <is>
          <t>/lustre/scratch126/casm/teams/team273/users/jd43/hsc_foldback2/Pair40_PD45810_PD45811/Pair40_PD45810_PD45811</t>
        </is>
      </c>
      <c r="K11" t="inlineStr">
        <is>
          <t>1fcdc92 (annotate SV lift + PROVIRUS_LTR, somatic_table beta-binomial het gate); checkout f01828e (+ hsc_chain.sh, no pipeline change)</t>
        </is>
      </c>
      <c r="L11" t="inlineStr">
        <is>
          <t>no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no</t>
        </is>
      </c>
      <c r="T11" t="inlineStr">
        <is>
          <t>; chain-submitted 2026-10-18 (cluster/hsc_chain.sh), native GRCh37, sd 344592, cleanup 344598, stage+discover waits on ended(344588), results -&gt; /nfs/users/nfs_j/jd43/results/hsc_foldback2/Pair40_PD45810_PD45811</t>
        </is>
      </c>
    </row>
    <row r="12">
      <c r="A12" t="inlineStr">
        <is>
          <t>PD45811</t>
        </is>
      </c>
      <c r="B12" t="inlineStr">
        <is>
          <t>Pair40 recipient</t>
        </is>
      </c>
      <c r="C12" t="inlineStr">
        <is>
          <t>Spencer Chapman 2024 Nature (allo-HCT)</t>
        </is>
      </c>
      <c r="D12" t="inlineStr">
        <is>
          <t>TP53 clade; transplant pair</t>
        </is>
      </c>
      <c r="E12" t="inlineStr">
        <is>
          <t>N239D</t>
        </is>
      </c>
      <c r="F12" t="inlineStr">
        <is>
          <t>Pair40_PD45810_PD45811</t>
        </is>
      </c>
      <c r="G12" t="inlineStr">
        <is>
          <t>GRCh37</t>
        </is>
      </c>
      <c r="H12" t="n">
        <v>136</v>
      </c>
      <c r="I12" t="inlineStr">
        <is>
          <t>queued</t>
        </is>
      </c>
      <c r="J12" t="inlineStr">
        <is>
          <t>/lustre/scratch126/casm/teams/team273/users/jd43/hsc_foldback2/Pair40_PD45810_PD45811/Pair40_PD45810_PD45811</t>
        </is>
      </c>
      <c r="K12" t="inlineStr">
        <is>
          <t>1fcdc92 (annotate SV lift + PROVIRUS_LTR, somatic_table beta-binomial het gate); checkout f01828e (+ hsc_chain.sh, no pipeline change)</t>
        </is>
      </c>
      <c r="L12" t="inlineStr">
        <is>
          <t>no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no</t>
        </is>
      </c>
      <c r="T12" t="inlineStr">
        <is>
          <t>; chain-submitted 2026-10-18 (cluster/hsc_chain.sh), native GRCh37, sd 344592, cleanup 344598, stage+discover waits on ended(344588), results -&gt; /nfs/users/nfs_j/jd43/results/hsc_foldback2/Pair40_PD45810_PD45811</t>
        </is>
      </c>
    </row>
    <row r="13">
      <c r="A13" t="inlineStr">
        <is>
          <t>PD45798</t>
        </is>
      </c>
      <c r="B13" t="inlineStr">
        <is>
          <t>Pair21 donor</t>
        </is>
      </c>
      <c r="C13" t="inlineStr">
        <is>
          <t>Spencer Chapman 2024 Nature (allo-HCT)</t>
        </is>
      </c>
      <c r="D13" t="inlineStr">
        <is>
          <t>transplant pair</t>
        </is>
      </c>
      <c r="E13" t="inlineStr"/>
      <c r="F13" t="inlineStr">
        <is>
          <t>Pair21_PD45798_PD45799</t>
        </is>
      </c>
      <c r="G13" t="inlineStr">
        <is>
          <t>GRCh37</t>
        </is>
      </c>
      <c r="H13" t="n">
        <v>142</v>
      </c>
      <c r="I13" t="inlineStr">
        <is>
          <t>not run</t>
        </is>
      </c>
      <c r="J13" t="inlineStr"/>
      <c r="K13" t="inlineStr"/>
      <c r="L13" t="inlineStr">
        <is>
          <t>no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no</t>
        </is>
      </c>
      <c r="T13" t="inlineStr">
        <is>
          <t>published Pair_5; added 2026-10-15 (whole transplant cohort)</t>
        </is>
      </c>
    </row>
    <row r="14">
      <c r="A14" t="inlineStr">
        <is>
          <t>PD45799</t>
        </is>
      </c>
      <c r="B14" t="inlineStr">
        <is>
          <t>Pair21 recipient</t>
        </is>
      </c>
      <c r="C14" t="inlineStr">
        <is>
          <t>Spencer Chapman 2024 Nature (allo-HCT)</t>
        </is>
      </c>
      <c r="D14" t="inlineStr">
        <is>
          <t>transplant pair</t>
        </is>
      </c>
      <c r="E14" t="inlineStr"/>
      <c r="F14" t="inlineStr">
        <is>
          <t>Pair21_PD45798_PD45799</t>
        </is>
      </c>
      <c r="G14" t="inlineStr">
        <is>
          <t>GRCh37</t>
        </is>
      </c>
      <c r="H14" t="n">
        <v>195</v>
      </c>
      <c r="I14" t="inlineStr">
        <is>
          <t>not run</t>
        </is>
      </c>
      <c r="J14" t="inlineStr"/>
      <c r="K14" t="inlineStr"/>
      <c r="L14" t="inlineStr">
        <is>
          <t>no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no</t>
        </is>
      </c>
      <c r="T14" t="inlineStr">
        <is>
          <t>published Pair_5; recipient: cisplatin for lung carcinoma 3y after HSCT; added 2026-10-15 (whole transplant cohort)</t>
        </is>
      </c>
    </row>
    <row r="15">
      <c r="A15" t="inlineStr">
        <is>
          <t>PD45800</t>
        </is>
      </c>
      <c r="B15" t="inlineStr">
        <is>
          <t>Pair24 donor</t>
        </is>
      </c>
      <c r="C15" t="inlineStr">
        <is>
          <t>Spencer Chapman 2024 Nature (allo-HCT)</t>
        </is>
      </c>
      <c r="D15" t="inlineStr">
        <is>
          <t>transplant pair</t>
        </is>
      </c>
      <c r="E15" t="inlineStr"/>
      <c r="F15" t="inlineStr">
        <is>
          <t>Pair24_PD45800_PD45801</t>
        </is>
      </c>
      <c r="G15" t="inlineStr">
        <is>
          <t>GRCh37</t>
        </is>
      </c>
      <c r="H15" t="n">
        <v>163</v>
      </c>
      <c r="I15" t="inlineStr">
        <is>
          <t>not run</t>
        </is>
      </c>
      <c r="J15" t="inlineStr"/>
      <c r="K15" t="inlineStr"/>
      <c r="L15" t="inlineStr">
        <is>
          <t>no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no</t>
        </is>
      </c>
      <c r="T15" t="inlineStr">
        <is>
          <t>published Pair_1; added 2026-10-15 (whole transplant cohort)</t>
        </is>
      </c>
    </row>
    <row r="16">
      <c r="A16" t="inlineStr">
        <is>
          <t>PD45801</t>
        </is>
      </c>
      <c r="B16" t="inlineStr">
        <is>
          <t>Pair24 recipient</t>
        </is>
      </c>
      <c r="C16" t="inlineStr">
        <is>
          <t>Spencer Chapman 2024 Nature (allo-HCT)</t>
        </is>
      </c>
      <c r="D16" t="inlineStr">
        <is>
          <t>transplant pair</t>
        </is>
      </c>
      <c r="E16" t="inlineStr"/>
      <c r="F16" t="inlineStr">
        <is>
          <t>Pair24_PD45800_PD45801</t>
        </is>
      </c>
      <c r="G16" t="inlineStr">
        <is>
          <t>GRCh37</t>
        </is>
      </c>
      <c r="H16" t="n">
        <v>174</v>
      </c>
      <c r="I16" t="inlineStr">
        <is>
          <t>not run</t>
        </is>
      </c>
      <c r="J16" t="inlineStr"/>
      <c r="K16" t="inlineStr"/>
      <c r="L16" t="inlineStr">
        <is>
          <t>no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no</t>
        </is>
      </c>
      <c r="T16" t="inlineStr">
        <is>
          <t>published Pair_1; added 2026-10-15 (whole transplant cohort)</t>
        </is>
      </c>
    </row>
    <row r="17">
      <c r="A17" t="inlineStr">
        <is>
          <t>PD45802</t>
        </is>
      </c>
      <c r="B17" t="inlineStr">
        <is>
          <t>Pair25 donor</t>
        </is>
      </c>
      <c r="C17" t="inlineStr">
        <is>
          <t>Spencer Chapman 2024 Nature (allo-HCT)</t>
        </is>
      </c>
      <c r="D17" t="inlineStr">
        <is>
          <t>transplant pair</t>
        </is>
      </c>
      <c r="E17" t="inlineStr"/>
      <c r="F17" t="inlineStr">
        <is>
          <t>Pair25_PD45802_PD45803</t>
        </is>
      </c>
      <c r="G17" t="inlineStr">
        <is>
          <t>GRCh37</t>
        </is>
      </c>
      <c r="H17" t="n">
        <v>155</v>
      </c>
      <c r="I17" t="inlineStr">
        <is>
          <t>not run</t>
        </is>
      </c>
      <c r="J17" t="inlineStr"/>
      <c r="K17" t="inlineStr"/>
      <c r="L17" t="inlineStr">
        <is>
          <t>no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no</t>
        </is>
      </c>
      <c r="T17" t="inlineStr">
        <is>
          <t>published Pair_4; added 2026-10-15 (whole transplant cohort)</t>
        </is>
      </c>
    </row>
    <row r="18">
      <c r="A18" t="inlineStr">
        <is>
          <t>PD45803</t>
        </is>
      </c>
      <c r="B18" t="inlineStr">
        <is>
          <t>Pair25 recipient</t>
        </is>
      </c>
      <c r="C18" t="inlineStr">
        <is>
          <t>Spencer Chapman 2024 Nature (allo-HCT)</t>
        </is>
      </c>
      <c r="D18" t="inlineStr">
        <is>
          <t>transplant pair</t>
        </is>
      </c>
      <c r="E18" t="inlineStr"/>
      <c r="F18" t="inlineStr">
        <is>
          <t>Pair25_PD45802_PD45803</t>
        </is>
      </c>
      <c r="G18" t="inlineStr">
        <is>
          <t>GRCh37</t>
        </is>
      </c>
      <c r="H18" t="n">
        <v>188</v>
      </c>
      <c r="I18" t="inlineStr">
        <is>
          <t>not run</t>
        </is>
      </c>
      <c r="J18" t="inlineStr"/>
      <c r="K18" t="inlineStr"/>
      <c r="L18" t="inlineStr">
        <is>
          <t>no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no</t>
        </is>
      </c>
      <c r="T18" t="inlineStr">
        <is>
          <t>published Pair_4; added 2026-10-15 (whole transplant cohort)</t>
        </is>
      </c>
    </row>
    <row r="19">
      <c r="A19" t="inlineStr">
        <is>
          <t>PD45804</t>
        </is>
      </c>
      <c r="B19" t="inlineStr">
        <is>
          <t>Pair28 donor</t>
        </is>
      </c>
      <c r="C19" t="inlineStr">
        <is>
          <t>Spencer Chapman 2024 Nature (allo-HCT)</t>
        </is>
      </c>
      <c r="D19" t="inlineStr">
        <is>
          <t>transplant pair</t>
        </is>
      </c>
      <c r="E19" t="inlineStr"/>
      <c r="F19" t="inlineStr">
        <is>
          <t>Pair28_PD45804_PD45805</t>
        </is>
      </c>
      <c r="G19" t="inlineStr">
        <is>
          <t>GRCh37</t>
        </is>
      </c>
      <c r="H19" t="n">
        <v>66</v>
      </c>
      <c r="I19" t="inlineStr">
        <is>
          <t>queued</t>
        </is>
      </c>
      <c r="J19" t="inlineStr">
        <is>
          <t>/lustre/scratch126/casm/teams/team273/users/jd43/hsc_foldback2/Pair28_PD45804_PD45805/Pair28_PD45804_PD45805</t>
        </is>
      </c>
      <c r="K19" t="inlineStr">
        <is>
          <t>1fcdc92 (annotate SV lift + PROVIRUS_LTR, somatic_table beta-binomial het gate); checkout f01828e (+ hsc_chain.sh, no pipeline change)</t>
        </is>
      </c>
      <c r="L19" t="inlineStr">
        <is>
          <t>no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no</t>
        </is>
      </c>
      <c r="T19" t="inlineStr">
        <is>
          <t>published Pair_10; added 2026-10-15 (whole transplant cohort); chain-submitted 2026-10-18 (cluster/hsc_chain.sh), native GRCh37, sd 344555, cleanup 344561, stage+discover waits on ended(344552), results -&gt; /nfs/users/nfs_j/jd43/results/hsc_foldback2/Pair28_PD45804_PD45805</t>
        </is>
      </c>
    </row>
    <row r="20">
      <c r="A20" t="inlineStr">
        <is>
          <t>PD45805</t>
        </is>
      </c>
      <c r="B20" t="inlineStr">
        <is>
          <t>Pair28 recipient</t>
        </is>
      </c>
      <c r="C20" t="inlineStr">
        <is>
          <t>Spencer Chapman 2024 Nature (allo-HCT)</t>
        </is>
      </c>
      <c r="D20" t="inlineStr">
        <is>
          <t>transplant pair</t>
        </is>
      </c>
      <c r="E20" t="inlineStr"/>
      <c r="F20" t="inlineStr">
        <is>
          <t>Pair28_PD45804_PD45805</t>
        </is>
      </c>
      <c r="G20" t="inlineStr">
        <is>
          <t>GRCh37</t>
        </is>
      </c>
      <c r="H20" t="n">
        <v>174</v>
      </c>
      <c r="I20" t="inlineStr">
        <is>
          <t>queued</t>
        </is>
      </c>
      <c r="J20" t="inlineStr">
        <is>
          <t>/lustre/scratch126/casm/teams/team273/users/jd43/hsc_foldback2/Pair28_PD45804_PD45805/Pair28_PD45804_PD45805</t>
        </is>
      </c>
      <c r="K20" t="inlineStr">
        <is>
          <t>1fcdc92 (annotate SV lift + PROVIRUS_LTR, somatic_table beta-binomial het gate); checkout f01828e (+ hsc_chain.sh, no pipeline change)</t>
        </is>
      </c>
      <c r="L20" t="inlineStr">
        <is>
          <t>no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no</t>
        </is>
      </c>
      <c r="T20" t="inlineStr">
        <is>
          <t>published Pair_10; recipient is a CML patient (BCR::ABL1 pre-HSCT), Flu-Bu-ATG; added 2026-10-15 (whole transplant cohort); chain-submitted 2026-10-18 (cluster/hsc_chain.sh), native GRCh37, sd 344555, cleanup 344561, stage+discover waits on ended(344552), results -&gt; /nfs/users/nfs_j/jd43/results/hsc_foldback2/Pair28_PD45804_PD45805</t>
        </is>
      </c>
    </row>
    <row r="21">
      <c r="A21" t="inlineStr">
        <is>
          <t>PD45806</t>
        </is>
      </c>
      <c r="B21" t="inlineStr">
        <is>
          <t>Pair31 donor</t>
        </is>
      </c>
      <c r="C21" t="inlineStr">
        <is>
          <t>Spencer Chapman 2024 Nature (allo-HCT)</t>
        </is>
      </c>
      <c r="D21" t="inlineStr">
        <is>
          <t>transplant pair</t>
        </is>
      </c>
      <c r="E21" t="inlineStr"/>
      <c r="F21" t="inlineStr">
        <is>
          <t>Pair31_PD45806_PD45807</t>
        </is>
      </c>
      <c r="G21" t="inlineStr">
        <is>
          <t>GRCh37</t>
        </is>
      </c>
      <c r="H21" t="n">
        <v>67</v>
      </c>
      <c r="I21" t="inlineStr">
        <is>
          <t>queued</t>
        </is>
      </c>
      <c r="J21" t="inlineStr">
        <is>
          <t>/lustre/scratch126/casm/teams/team273/users/jd43/hsc_foldback2/Pair31_PD45806_PD45807/Pair31_PD45806_PD45807</t>
        </is>
      </c>
      <c r="K21" t="inlineStr">
        <is>
          <t>1fcdc92 (annotate SV lift + PROVIRUS_LTR, somatic_table beta-binomial het gate); checkout f01828e (+ hsc_chain.sh, no pipeline change)</t>
        </is>
      </c>
      <c r="L21" t="inlineStr">
        <is>
          <t>no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no</t>
        </is>
      </c>
      <c r="T21" t="inlineStr">
        <is>
          <t>published Pair_6; added 2026-10-15 (whole transplant cohort); chain-submitted 2026-10-18 (cluster/hsc_chain.sh), native GRCh37, sd 344542, cleanup 344552, stage+discover waits on ended(344539), results -&gt; /nfs/users/nfs_j/jd43/results/hsc_foldback2/Pair31_PD45806_PD45807; 2026-10-20: chain STALLED here -- 188/192 sd OOM at 4000 MB (peak 5.1 GB), sdr 344543 died on 'Bad job name' (long tier2 index list; fixed e0f23ac); resubmitted sdr as 6992, ci 344545 bmod'ed to done(6992); pending sd arrays of all later units bmod'ed to 8000 MB (hsc_run default now 8000, 4f9f058)</t>
        </is>
      </c>
    </row>
    <row r="22">
      <c r="A22" t="inlineStr">
        <is>
          <t>PD45807</t>
        </is>
      </c>
      <c r="B22" t="inlineStr">
        <is>
          <t>Pair31 recipient</t>
        </is>
      </c>
      <c r="C22" t="inlineStr">
        <is>
          <t>Spencer Chapman 2024 Nature (allo-HCT)</t>
        </is>
      </c>
      <c r="D22" t="inlineStr">
        <is>
          <t>transplant pair</t>
        </is>
      </c>
      <c r="E22" t="inlineStr"/>
      <c r="F22" t="inlineStr">
        <is>
          <t>Pair31_PD45806_PD45807</t>
        </is>
      </c>
      <c r="G22" t="inlineStr">
        <is>
          <t>GRCh37</t>
        </is>
      </c>
      <c r="H22" t="n">
        <v>125</v>
      </c>
      <c r="I22" t="inlineStr">
        <is>
          <t>queued</t>
        </is>
      </c>
      <c r="J22" t="inlineStr">
        <is>
          <t>/lustre/scratch126/casm/teams/team273/users/jd43/hsc_foldback2/Pair31_PD45806_PD45807/Pair31_PD45806_PD45807</t>
        </is>
      </c>
      <c r="K22" t="inlineStr">
        <is>
          <t>1fcdc92 (annotate SV lift + PROVIRUS_LTR, somatic_table beta-binomial het gate); checkout f01828e (+ hsc_chain.sh, no pipeline change)</t>
        </is>
      </c>
      <c r="L22" t="inlineStr">
        <is>
          <t>no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no</t>
        </is>
      </c>
      <c r="T22" t="inlineStr">
        <is>
          <t>published Pair_6; recipient: cisplatin for oesophageal cancer after HSCT; added 2026-10-15 (whole transplant cohort); chain-submitted 2026-10-18 (cluster/hsc_chain.sh), native GRCh37, sd 344542, cleanup 344552, stage+discover waits on ended(344539), results -&gt; /nfs/users/nfs_j/jd43/results/hsc_foldback2/Pair31_PD45806_PD45807; 2026-10-20: chain STALLED here -- 188/192 sd OOM at 4000 MB (peak 5.1 GB), sdr 344543 died on 'Bad job name' (long tier2 index list; fixed e0f23ac); resubmitted sdr as 6992, ci 344545 bmod'ed to done(6992); pending sd arrays of all later units bmod'ed to 8000 MB (hsc_run default now 8000, 4f9f058)</t>
        </is>
      </c>
    </row>
    <row r="23">
      <c r="A23" t="inlineStr">
        <is>
          <t>PD45812</t>
        </is>
      </c>
      <c r="B23" t="inlineStr">
        <is>
          <t>Pair41 donor</t>
        </is>
      </c>
      <c r="C23" t="inlineStr">
        <is>
          <t>Spencer Chapman 2024 Nature (allo-HCT)</t>
        </is>
      </c>
      <c r="D23" t="inlineStr">
        <is>
          <t>transplant pair</t>
        </is>
      </c>
      <c r="E23" t="inlineStr"/>
      <c r="F23" t="inlineStr">
        <is>
          <t>Pair41_PD45812_PD45813</t>
        </is>
      </c>
      <c r="G23" t="inlineStr">
        <is>
          <t>GRCh37</t>
        </is>
      </c>
      <c r="H23" t="n">
        <v>119</v>
      </c>
      <c r="I23" t="inlineStr">
        <is>
          <t>queued</t>
        </is>
      </c>
      <c r="J23" t="inlineStr">
        <is>
          <t>/lustre/scratch126/casm/teams/team273/users/jd43/hsc_foldback2/Pair41_PD45812_PD45813/Pair41_PD45812_PD45813</t>
        </is>
      </c>
      <c r="K23" t="inlineStr">
        <is>
          <t>1fcdc92 (annotate SV lift + PROVIRUS_LTR, somatic_table beta-binomial het gate); checkout f01828e (+ hsc_chain.sh, no pipeline change)</t>
        </is>
      </c>
      <c r="L23" t="inlineStr">
        <is>
          <t>no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no</t>
        </is>
      </c>
      <c r="T23" t="inlineStr">
        <is>
          <t>published Pair_2; added 2026-10-15 (whole transplant cohort); chain-submitted 2026-10-18 (cluster/hsc_chain.sh), native GRCh37, sd 344601, cleanup 344613, stage+discover waits on ended(344598), results -&gt; /nfs/users/nfs_j/jd43/results/hsc_foldback2/Pair41_PD45812_PD45813</t>
        </is>
      </c>
    </row>
    <row r="24">
      <c r="A24" t="inlineStr">
        <is>
          <t>PD45813</t>
        </is>
      </c>
      <c r="B24" t="inlineStr">
        <is>
          <t>Pair41 recipient</t>
        </is>
      </c>
      <c r="C24" t="inlineStr">
        <is>
          <t>Spencer Chapman 2024 Nature (allo-HCT)</t>
        </is>
      </c>
      <c r="D24" t="inlineStr">
        <is>
          <t>transplant pair</t>
        </is>
      </c>
      <c r="E24" t="inlineStr"/>
      <c r="F24" t="inlineStr">
        <is>
          <t>Pair41_PD45812_PD45813</t>
        </is>
      </c>
      <c r="G24" t="inlineStr">
        <is>
          <t>GRCh37</t>
        </is>
      </c>
      <c r="H24" t="n">
        <v>160</v>
      </c>
      <c r="I24" t="inlineStr">
        <is>
          <t>queued</t>
        </is>
      </c>
      <c r="J24" t="inlineStr">
        <is>
          <t>/lustre/scratch126/casm/teams/team273/users/jd43/hsc_foldback2/Pair41_PD45812_PD45813/Pair41_PD45812_PD45813</t>
        </is>
      </c>
      <c r="K24" t="inlineStr">
        <is>
          <t>1fcdc92 (annotate SV lift + PROVIRUS_LTR, somatic_table beta-binomial het gate); checkout f01828e (+ hsc_chain.sh, no pipeline change)</t>
        </is>
      </c>
      <c r="L24" t="inlineStr">
        <is>
          <t>no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no</t>
        </is>
      </c>
      <c r="T24" t="inlineStr">
        <is>
          <t>published Pair_2; sex-mismatched pair (F donor -&gt; M recipient); added 2026-10-15 (whole transplant cohort); chain-submitted 2026-10-18 (cluster/hsc_chain.sh), native GRCh37, sd 344601, cleanup 344613, stage+discover waits on ended(344598), results -&gt; /nfs/users/nfs_j/jd43/results/hsc_foldback2/Pair41_PD45812_PD45813</t>
        </is>
      </c>
    </row>
    <row r="25">
      <c r="A25" t="inlineStr">
        <is>
          <t>PD49229</t>
        </is>
      </c>
      <c r="B25" t="inlineStr">
        <is>
          <t>BCL002 (SCD4)</t>
        </is>
      </c>
      <c r="C25" t="inlineStr">
        <is>
          <t>Spencer Chapman 2023 Nat Med (SCD gene therapy)</t>
        </is>
      </c>
      <c r="D25" t="inlineStr">
        <is>
          <t>TP53 clade</t>
        </is>
      </c>
      <c r="E25" t="inlineStr">
        <is>
          <t>R273H</t>
        </is>
      </c>
      <c r="F25" t="inlineStr">
        <is>
          <t>PD49229</t>
        </is>
      </c>
      <c r="G25" t="inlineStr">
        <is>
          <t>GRCh37</t>
        </is>
      </c>
      <c r="H25" t="n">
        <v>722</v>
      </c>
      <c r="I25" t="inlineStr">
        <is>
          <t>report incomplete</t>
        </is>
      </c>
      <c r="J25" t="inlineStr">
        <is>
          <t>/lustre/scratch126/casm/teams/team273/users/jd43/hsc/PD49229/PD49229</t>
        </is>
      </c>
      <c r="K25" t="inlineStr">
        <is>
          <t>~7d9e241 (inferred, hsc-deploy 2026-10-07); annotate rerun on 59b75b6 (Rust RTE)</t>
        </is>
      </c>
      <c r="L25" t="inlineStr">
        <is>
          <t>yes</t>
        </is>
      </c>
      <c r="M25" t="inlineStr">
        <is>
          <t>PD49229</t>
        </is>
      </c>
      <c r="N25" t="n">
        <v>237</v>
      </c>
      <c r="O25" t="inlineStr">
        <is>
          <t>16 / 188 / 33</t>
        </is>
      </c>
      <c r="P25" t="n">
        <v>62</v>
      </c>
      <c r="Q25" t="n">
        <v>220</v>
      </c>
      <c r="R25" t="inlineStr">
        <is>
          <t>92 %</t>
        </is>
      </c>
      <c r="S25" t="inlineStr">
        <is>
          <t>no</t>
        </is>
      </c>
      <c r="T25" t="inlineStr">
        <is>
          <t>NEEDS RERUN (not scheduled): combine predates the dense-region filter removal (2026-10-11), which dropped ~2.4% of germline MEIs here (3381 loci in 733 bins); 722 colonies; annotated + joint table copied, no tree_fit / somatic.xlsx yet (annotate OOM at 32 GB -&gt; Rust RTE rerun)</t>
        </is>
      </c>
    </row>
    <row r="26">
      <c r="A26" t="inlineStr">
        <is>
          <t>PD49226</t>
        </is>
      </c>
      <c r="B26" t="inlineStr">
        <is>
          <t>BCL009</t>
        </is>
      </c>
      <c r="C26" t="inlineStr">
        <is>
          <t>Spencer Chapman 2023 Nat Med (SCD gene therapy)</t>
        </is>
      </c>
      <c r="D26" t="inlineStr">
        <is>
          <t>SCD cohort</t>
        </is>
      </c>
      <c r="E26" t="inlineStr"/>
      <c r="F26" t="inlineStr">
        <is>
          <t>PD49226</t>
        </is>
      </c>
      <c r="G26" t="inlineStr">
        <is>
          <t>GRCh37</t>
        </is>
      </c>
      <c r="H26" t="n">
        <v>344</v>
      </c>
      <c r="I26" t="inlineStr">
        <is>
          <t>queued</t>
        </is>
      </c>
      <c r="J26" t="inlineStr">
        <is>
          <t>/lustre/scratch126/casm/teams/team273/users/jd43/hsc_foldback2/PD49226/PD49226</t>
        </is>
      </c>
      <c r="K26" t="inlineStr">
        <is>
          <t>1fcdc92 (annotate SV lift + PROVIRUS_LTR, somatic_table beta-binomial het gate); checkout f01828e (+ hsc_chain.sh, no pipeline change)</t>
        </is>
      </c>
      <c r="L26" t="inlineStr">
        <is>
          <t>no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no</t>
        </is>
      </c>
      <c r="T26" t="inlineStr">
        <is>
          <t>colonies.tsv populated 2026-07-18 (nst_links), all hs37d5; folder still patients/unknown_tissue_bcl (should be re-filed as blood); added 2026-10-15 (whole SCD cohort); chain-submitted 2026-10-18 (cluster/hsc_chain.sh), native GRCh37, sd 344657, cleanup 344664, stage+discover waits on ended(344654), results -&gt; /nfs/users/nfs_j/jd43/results/hsc_foldback2/PD49226</t>
        </is>
      </c>
    </row>
    <row r="27">
      <c r="A27" t="inlineStr">
        <is>
          <t>PD49227</t>
        </is>
      </c>
      <c r="B27" t="inlineStr">
        <is>
          <t>BCL008</t>
        </is>
      </c>
      <c r="C27" t="inlineStr">
        <is>
          <t>Spencer Chapman 2023 Nat Med (SCD gene therapy)</t>
        </is>
      </c>
      <c r="D27" t="inlineStr">
        <is>
          <t>SCD cohort</t>
        </is>
      </c>
      <c r="E27" t="inlineStr"/>
      <c r="F27" t="inlineStr">
        <is>
          <t>PD49227</t>
        </is>
      </c>
      <c r="G27" t="inlineStr">
        <is>
          <t>GRCh37</t>
        </is>
      </c>
      <c r="H27" t="n">
        <v>423</v>
      </c>
      <c r="I27" t="inlineStr">
        <is>
          <t>queued</t>
        </is>
      </c>
      <c r="J27" t="inlineStr">
        <is>
          <t>/lustre/scratch126/casm/teams/team273/users/jd43/hsc_foldback2/PD49227/PD49227</t>
        </is>
      </c>
      <c r="K27" t="inlineStr">
        <is>
          <t>1fcdc92 (annotate SV lift + PROVIRUS_LTR, somatic_table beta-binomial het gate); checkout f01828e (+ hsc_chain.sh, no pipeline change)</t>
        </is>
      </c>
      <c r="L27" t="inlineStr">
        <is>
          <t>no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no</t>
        </is>
      </c>
      <c r="T27" t="inlineStr">
        <is>
          <t>colonies.tsv populated 2026-07-18 (nst_links), all hs37d5; folder still patients/unknown_tissue_bcl (should be re-filed as blood); added 2026-10-15 (whole SCD cohort); chain-submitted 2026-10-18 (cluster/hsc_chain.sh), native GRCh37, sd 344667, cleanup 344676, stage+discover waits on ended(344664), results -&gt; /nfs/users/nfs_j/jd43/results/hsc_foldback2/PD49227</t>
        </is>
      </c>
    </row>
    <row r="28">
      <c r="A28" t="inlineStr">
        <is>
          <t>PD49228</t>
        </is>
      </c>
      <c r="B28" t="inlineStr">
        <is>
          <t>BCL004 (SCD5)</t>
        </is>
      </c>
      <c r="C28" t="inlineStr">
        <is>
          <t>Spencer Chapman 2023 Nat Med (SCD gene therapy)</t>
        </is>
      </c>
      <c r="D28" t="inlineStr">
        <is>
          <t>SCD cohort</t>
        </is>
      </c>
      <c r="E28" t="inlineStr"/>
      <c r="F28" t="inlineStr">
        <is>
          <t>PD49228</t>
        </is>
      </c>
      <c r="G28" t="inlineStr">
        <is>
          <t>GRCh37</t>
        </is>
      </c>
      <c r="H28" t="n">
        <v>486</v>
      </c>
      <c r="I28" t="inlineStr">
        <is>
          <t>queued</t>
        </is>
      </c>
      <c r="J28" t="inlineStr">
        <is>
          <t>/lustre/scratch126/casm/teams/team273/users/jd43/hsc_foldback2/PD49228/PD49228</t>
        </is>
      </c>
      <c r="K28" t="inlineStr">
        <is>
          <t>1fcdc92 (annotate SV lift + PROVIRUS_LTR, somatic_table beta-binomial het gate); checkout f01828e (+ hsc_chain.sh, no pipeline change)</t>
        </is>
      </c>
      <c r="L28" t="inlineStr">
        <is>
          <t>no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no</t>
        </is>
      </c>
      <c r="T28" t="inlineStr">
        <is>
          <t>colonies.tsv populated 2026-07-18 (nst_links), all hs37d5; folder still patients/unknown_tissue_bcl (should be re-filed as blood); added 2026-10-15 (whole SCD cohort); chain-submitted 2026-10-18 (cluster/hsc_chain.sh), native GRCh37, sd 344680, cleanup 344686, stage+discover waits on ended(344676), results -&gt; /nfs/users/nfs_j/jd43/results/hsc_foldback2/PD49228</t>
        </is>
      </c>
    </row>
    <row r="29">
      <c r="A29" t="inlineStr">
        <is>
          <t>PD53373</t>
        </is>
      </c>
      <c r="B29" t="inlineStr">
        <is>
          <t>BCL003</t>
        </is>
      </c>
      <c r="C29" t="inlineStr">
        <is>
          <t>Spencer Chapman 2023 Nat Med (SCD gene therapy)</t>
        </is>
      </c>
      <c r="D29" t="inlineStr">
        <is>
          <t>SCD cohort</t>
        </is>
      </c>
      <c r="E29" t="inlineStr"/>
      <c r="F29" t="inlineStr">
        <is>
          <t>PD53373</t>
        </is>
      </c>
      <c r="G29" t="inlineStr">
        <is>
          <t>GRCh37</t>
        </is>
      </c>
      <c r="H29" t="n">
        <v>535</v>
      </c>
      <c r="I29" t="inlineStr">
        <is>
          <t>queued</t>
        </is>
      </c>
      <c r="J29" t="inlineStr">
        <is>
          <t>/lustre/scratch126/casm/teams/team273/users/jd43/hsc_foldback2/PD53373/PD53373</t>
        </is>
      </c>
      <c r="K29" t="inlineStr">
        <is>
          <t>1fcdc92 (annotate SV lift + PROVIRUS_LTR, somatic_table beta-binomial het gate); checkout f01828e (+ hsc_chain.sh, no pipeline change)</t>
        </is>
      </c>
      <c r="L29" t="inlineStr">
        <is>
          <t>no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no</t>
        </is>
      </c>
      <c r="T29" t="inlineStr">
        <is>
          <t>colonies.tsv populated 2026-07-18 (nst_links), all hs37d5; folder still patients/unknown_tissue_bcl (should be re-filed as blood); added 2026-10-15 (whole SCD cohort); chain-submitted 2026-10-18 (cluster/hsc_chain.sh), native GRCh37, sd 344692, cleanup 344700, stage+discover waits on ended(344686), results -&gt; /nfs/users/nfs_j/jd43/results/hsc_foldback2/PD53373</t>
        </is>
      </c>
    </row>
    <row r="30">
      <c r="A30" t="inlineStr">
        <is>
          <t>PD53374</t>
        </is>
      </c>
      <c r="B30" t="inlineStr">
        <is>
          <t>BCL006</t>
        </is>
      </c>
      <c r="C30" t="inlineStr">
        <is>
          <t>Spencer Chapman 2023 Nat Med (SCD gene therapy)</t>
        </is>
      </c>
      <c r="D30" t="inlineStr">
        <is>
          <t>SCD cohort</t>
        </is>
      </c>
      <c r="E30" t="inlineStr"/>
      <c r="F30" t="inlineStr">
        <is>
          <t>PD53374</t>
        </is>
      </c>
      <c r="G30" t="inlineStr">
        <is>
          <t>GRCh37</t>
        </is>
      </c>
      <c r="H30" t="n">
        <v>297</v>
      </c>
      <c r="I30" t="inlineStr">
        <is>
          <t>queued</t>
        </is>
      </c>
      <c r="J30" t="inlineStr">
        <is>
          <t>/lustre/scratch126/casm/teams/team273/users/jd43/hsc_foldback2/PD53374/PD53374</t>
        </is>
      </c>
      <c r="K30" t="inlineStr">
        <is>
          <t>1fcdc92 (annotate SV lift + PROVIRUS_LTR, somatic_table beta-binomial het gate); checkout f01828e (+ hsc_chain.sh, no pipeline change)</t>
        </is>
      </c>
      <c r="L30" t="inlineStr">
        <is>
          <t>no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no</t>
        </is>
      </c>
      <c r="T30" t="inlineStr">
        <is>
          <t>colonies.tsv populated 2026-07-18 (nst_links), all hs37d5; folder still patients/unknown_tissue_bcl (should be re-filed as blood); added 2026-10-15 (whole SCD cohort); chain-submitted 2026-10-18 (cluster/hsc_chain.sh), native GRCh37, sd 344620, cleanup 344627, stage+discover waits on ended(344613), results -&gt; /nfs/users/nfs_j/jd43/results/hsc_foldback2/PD53374</t>
        </is>
      </c>
    </row>
    <row r="31">
      <c r="A31" t="inlineStr">
        <is>
          <t>PD43975</t>
        </is>
      </c>
      <c r="B31" t="inlineStr">
        <is>
          <t>SDS2</t>
        </is>
      </c>
      <c r="C31" t="inlineStr">
        <is>
          <t>Machado 2023 Nat Commun (Shwachman-Diamond)</t>
        </is>
      </c>
      <c r="D31" t="inlineStr">
        <is>
          <t>TP53 clade</t>
        </is>
      </c>
      <c r="E31" t="inlineStr">
        <is>
          <t>C141Y</t>
        </is>
      </c>
      <c r="F31" t="inlineStr">
        <is>
          <t>PD43975</t>
        </is>
      </c>
      <c r="G31" t="inlineStr">
        <is>
          <t>GRCh37</t>
        </is>
      </c>
      <c r="H31" t="n">
        <v>38</v>
      </c>
      <c r="I31" t="inlineStr">
        <is>
          <t>done</t>
        </is>
      </c>
      <c r="J31" t="inlineStr">
        <is>
          <t>/lustre/scratch126/casm/teams/team273/users/jd43/hsc_foldback2/PD43975/PD43975</t>
        </is>
      </c>
      <c r="K31" t="inlineStr">
        <is>
          <t>1fcdc92 (annotate SV lift + PROVIRUS_LTR, somatic_table beta-binomial het gate)</t>
        </is>
      </c>
      <c r="L31" t="inlineStr">
        <is>
          <t>yes</t>
        </is>
      </c>
      <c r="M31" t="inlineStr">
        <is>
          <t>PD43975</t>
        </is>
      </c>
      <c r="N31" t="n">
        <v>25</v>
      </c>
      <c r="O31" t="inlineStr">
        <is>
          <t>1 / 1 / 23</t>
        </is>
      </c>
      <c r="P31" t="n">
        <v>7</v>
      </c>
      <c r="Q31" t="n">
        <v>25</v>
      </c>
      <c r="R31" t="inlineStr">
        <is>
          <t>complete</t>
        </is>
      </c>
      <c r="S31" t="inlineStr">
        <is>
          <t>no</t>
        </is>
      </c>
      <c r="T31" t="inlineStr">
        <is>
          <t>tree added 2026-10-10 (zeros outgroup dropped); colonies.tsv populated 2026-10-10 (iRODS, all tips); submitted 2026-10-16 (job IDs not recorded), native GRCh37, results -&gt; /nfs/users/nfs_j/jd43/results/hsc_foldback2/PD43975; 38/38 colonies; done on farm 2026-10-17; results copied 2026-10-17 to ~/Documents/hsc_results/PD43975</t>
        </is>
      </c>
    </row>
    <row r="32">
      <c r="A32" t="inlineStr">
        <is>
          <t>PD43293</t>
        </is>
      </c>
      <c r="B32" t="inlineStr">
        <is>
          <t>SDS4</t>
        </is>
      </c>
      <c r="C32" t="inlineStr">
        <is>
          <t>Machado 2023 Nat Commun (Shwachman-Diamond)</t>
        </is>
      </c>
      <c r="D32" t="inlineStr">
        <is>
          <t>TP53 clade</t>
        </is>
      </c>
      <c r="E32" t="inlineStr">
        <is>
          <t>R273L</t>
        </is>
      </c>
      <c r="F32" t="inlineStr">
        <is>
          <t>PD43293</t>
        </is>
      </c>
      <c r="G32" t="inlineStr">
        <is>
          <t>GRCh37</t>
        </is>
      </c>
      <c r="H32" t="n">
        <v>18</v>
      </c>
      <c r="I32" t="inlineStr">
        <is>
          <t>done</t>
        </is>
      </c>
      <c r="J32" t="inlineStr">
        <is>
          <t>/lustre/scratch126/casm/teams/team273/users/jd43/hsc_foldback2/PD43293/PD43293</t>
        </is>
      </c>
      <c r="K32" t="inlineStr">
        <is>
          <t>1fcdc92 (annotate SV lift + PROVIRUS_LTR, somatic_table beta-binomial het gate)</t>
        </is>
      </c>
      <c r="L32" t="inlineStr">
        <is>
          <t>yes</t>
        </is>
      </c>
      <c r="M32" t="inlineStr">
        <is>
          <t>PD43293</t>
        </is>
      </c>
      <c r="N32" t="n">
        <v>48</v>
      </c>
      <c r="O32" t="inlineStr">
        <is>
          <t>10 / 11 / 27</t>
        </is>
      </c>
      <c r="P32" t="n">
        <v>6</v>
      </c>
      <c r="Q32" t="n">
        <v>48</v>
      </c>
      <c r="R32" t="inlineStr">
        <is>
          <t>complete</t>
        </is>
      </c>
      <c r="S32" t="inlineStr">
        <is>
          <t>no</t>
        </is>
      </c>
      <c r="T32" t="inlineStr">
        <is>
          <t>tree added 2026-10-10 (zeros outgroup dropped); colonies.tsv populated 2026-10-10 (iRODS, all tips); submitted 2026-10-17 (job IDs not recorded), native GRCh37, results -&gt; /nfs/users/nfs_j/jd43/results/hsc_foldback2/PD43293; done 2026-10-17; results copied 2026-10-18 to ~/Documents/hsc_results/PD43293</t>
        </is>
      </c>
    </row>
    <row r="33">
      <c r="A33" t="inlineStr">
        <is>
          <t>PD42190</t>
        </is>
      </c>
      <c r="B33" t="inlineStr">
        <is>
          <t>SDS5 (timepoint 1)</t>
        </is>
      </c>
      <c r="C33" t="inlineStr">
        <is>
          <t>Machado 2023 Nat Commun (Shwachman-Diamond)</t>
        </is>
      </c>
      <c r="D33" t="inlineStr">
        <is>
          <t>TP53 clade</t>
        </is>
      </c>
      <c r="E33" t="inlineStr">
        <is>
          <t>R248W (3), A159V (2), P151S (2) + 5 single</t>
        </is>
      </c>
      <c r="F33" t="inlineStr">
        <is>
          <t>SDS5_PD42190_PD45888</t>
        </is>
      </c>
      <c r="G33" t="inlineStr">
        <is>
          <t>GRCh37</t>
        </is>
      </c>
      <c r="H33" t="n">
        <v>48</v>
      </c>
      <c r="I33" t="inlineStr">
        <is>
          <t>done</t>
        </is>
      </c>
      <c r="J33" t="inlineStr">
        <is>
          <t>/lustre/scratch126/casm/teams/team273/users/jd43/hsc_foldback2/SDS5_PD42190_PD45888/SDS5_PD42190_PD45888</t>
        </is>
      </c>
      <c r="K33" t="inlineStr">
        <is>
          <t>1fcdc92 (annotate SV lift + PROVIRUS_LTR, somatic_table beta-binomial het gate); checkout f01828e (+ hsc_chain.sh, no pipeline change)</t>
        </is>
      </c>
      <c r="L33" t="inlineStr">
        <is>
          <t>yes</t>
        </is>
      </c>
      <c r="M33" t="inlineStr">
        <is>
          <t>SDS5_PD42190_PD45888</t>
        </is>
      </c>
      <c r="N33" t="n">
        <v>117</v>
      </c>
      <c r="O33" t="inlineStr">
        <is>
          <t>2 / 4 / 111</t>
        </is>
      </c>
      <c r="P33" t="n">
        <v>93</v>
      </c>
      <c r="Q33" t="n">
        <v>4</v>
      </c>
      <c r="R33" t="inlineStr">
        <is>
          <t>3 %</t>
        </is>
      </c>
      <c r="S33" t="inlineStr">
        <is>
          <t>no</t>
        </is>
      </c>
      <c r="T33" t="inlineStr">
        <is>
          <t>one tree with PD45888; colonies.tsv populated 2026-10-10 (100/100); chain-submitted 2026-10-18 (cluster/hsc_chain.sh), native GRCh37, sd 344533, cleanup 344539, stage+discover waits on ended(344527), results -&gt; /nfs/users/nfs_j/jd43/results/hsc_foldback2/SDS5_PD42190_PD45888; done on farm 2026-10-19 (somatic.xlsx 06:26); results copied 2026-10-20 to ~/Documents/hsc_results/SDS5_PD42190_PD45888; copy-number rule applied locally (apply_copy_number.py): 0 rows moved</t>
        </is>
      </c>
    </row>
    <row r="34">
      <c r="A34" t="inlineStr">
        <is>
          <t>PD45888</t>
        </is>
      </c>
      <c r="B34" t="inlineStr">
        <is>
          <t>SDS5 (timepoint 2)</t>
        </is>
      </c>
      <c r="C34" t="inlineStr">
        <is>
          <t>Machado 2023 Nat Commun (Shwachman-Diamond)</t>
        </is>
      </c>
      <c r="D34" t="inlineStr">
        <is>
          <t>TP53 clade</t>
        </is>
      </c>
      <c r="E34" t="inlineStr">
        <is>
          <t>(shared SDS5 tree)</t>
        </is>
      </c>
      <c r="F34" t="inlineStr">
        <is>
          <t>SDS5_PD42190_PD45888</t>
        </is>
      </c>
      <c r="G34" t="inlineStr">
        <is>
          <t>GRCh37</t>
        </is>
      </c>
      <c r="H34" t="n">
        <v>52</v>
      </c>
      <c r="I34" t="inlineStr">
        <is>
          <t>done</t>
        </is>
      </c>
      <c r="J34" t="inlineStr">
        <is>
          <t>/lustre/scratch126/casm/teams/team273/users/jd43/hsc_foldback2/SDS5_PD42190_PD45888/SDS5_PD42190_PD45888</t>
        </is>
      </c>
      <c r="K34" t="inlineStr">
        <is>
          <t>1fcdc92 (annotate SV lift + PROVIRUS_LTR, somatic_table beta-binomial het gate); checkout f01828e (+ hsc_chain.sh, no pipeline change)</t>
        </is>
      </c>
      <c r="L34" t="inlineStr">
        <is>
          <t>yes</t>
        </is>
      </c>
      <c r="M34" t="inlineStr">
        <is>
          <t>SDS5_PD42190_PD45888</t>
        </is>
      </c>
      <c r="N34" t="n">
        <v>117</v>
      </c>
      <c r="O34" t="inlineStr">
        <is>
          <t>2 / 4 / 111</t>
        </is>
      </c>
      <c r="P34" t="n">
        <v>93</v>
      </c>
      <c r="Q34" t="n">
        <v>4</v>
      </c>
      <c r="R34" t="inlineStr">
        <is>
          <t>3 %</t>
        </is>
      </c>
      <c r="S34" t="inlineStr">
        <is>
          <t>no</t>
        </is>
      </c>
      <c r="T34" t="inlineStr">
        <is>
          <t>one tree with PD42190; colonies.tsv populated 2026-10-10 (100/100); chain-submitted 2026-10-18 (cluster/hsc_chain.sh), native GRCh37, sd 344533, cleanup 344539, stage+discover waits on ended(344527), results -&gt; /nfs/users/nfs_j/jd43/results/hsc_foldback2/SDS5_PD42190_PD45888; done on farm 2026-10-19 (somatic.xlsx 06:26); results copied 2026-10-20 to ~/Documents/hsc_results/SDS5_PD42190_PD45888; copy-number rule applied locally (apply_copy_number.py): 0 rows moved</t>
        </is>
      </c>
    </row>
    <row r="35">
      <c r="A35" t="inlineStr">
        <is>
          <t>PD45887</t>
        </is>
      </c>
      <c r="B35" t="inlineStr">
        <is>
          <t>SDS6</t>
        </is>
      </c>
      <c r="C35" t="inlineStr">
        <is>
          <t>Machado 2023 Nat Commun (Shwachman-Diamond)</t>
        </is>
      </c>
      <c r="D35" t="inlineStr">
        <is>
          <t>TP53 clade</t>
        </is>
      </c>
      <c r="E35" t="inlineStr">
        <is>
          <t>E258K, G245S, I195F, R175H, V157F</t>
        </is>
      </c>
      <c r="F35" t="inlineStr">
        <is>
          <t>PD45887</t>
        </is>
      </c>
      <c r="G35" t="inlineStr">
        <is>
          <t>GRCh37</t>
        </is>
      </c>
      <c r="H35" t="n">
        <v>27</v>
      </c>
      <c r="I35" t="inlineStr">
        <is>
          <t>done</t>
        </is>
      </c>
      <c r="J35" t="inlineStr">
        <is>
          <t>/lustre/scratch126/casm/teams/team273/users/jd43/hsc_foldback2/PD45887/PD45887</t>
        </is>
      </c>
      <c r="K35" t="inlineStr">
        <is>
          <t>1fcdc92 (annotate SV lift + PROVIRUS_LTR, somatic_table beta-binomial het gate)</t>
        </is>
      </c>
      <c r="L35" t="inlineStr">
        <is>
          <t>yes</t>
        </is>
      </c>
      <c r="M35" t="inlineStr">
        <is>
          <t>PD45887</t>
        </is>
      </c>
      <c r="N35" t="n">
        <v>46</v>
      </c>
      <c r="O35" t="inlineStr">
        <is>
          <t>1 / 4 / 41</t>
        </is>
      </c>
      <c r="P35" t="n">
        <v>2</v>
      </c>
      <c r="Q35" t="n">
        <v>17</v>
      </c>
      <c r="R35" t="inlineStr">
        <is>
          <t>36 %</t>
        </is>
      </c>
      <c r="S35" t="inlineStr">
        <is>
          <t>no</t>
        </is>
      </c>
      <c r="T35" t="inlineStr">
        <is>
          <t>tree added 2026-10-10 (zeros outgroup dropped); colonies.tsv populated 2026-10-10 (iRODS, all tips); submitted 2026-10-17 (job IDs not recorded), native GRCh37, results -&gt; /nfs/users/nfs_j/jd43/results/hsc_foldback2/PD45887; done 2026-10-17; results copied 2026-10-18 to ~/Documents/hsc_results/PD45887</t>
        </is>
      </c>
    </row>
    <row r="36">
      <c r="A36" t="inlineStr">
        <is>
          <t>PD44706</t>
        </is>
      </c>
      <c r="B36" t="inlineStr">
        <is>
          <t>SDS7</t>
        </is>
      </c>
      <c r="C36" t="inlineStr">
        <is>
          <t>Machado 2023 Nat Commun (Shwachman-Diamond)</t>
        </is>
      </c>
      <c r="D36" t="inlineStr">
        <is>
          <t>TP53 clade</t>
        </is>
      </c>
      <c r="E36" t="inlineStr">
        <is>
          <t>C275Y, V272M, G245S, Y205F, H179Q, V173M</t>
        </is>
      </c>
      <c r="F36" t="inlineStr">
        <is>
          <t>PD44706</t>
        </is>
      </c>
      <c r="G36" t="inlineStr">
        <is>
          <t>GRCh37</t>
        </is>
      </c>
      <c r="H36" t="n">
        <v>35</v>
      </c>
      <c r="I36" t="inlineStr">
        <is>
          <t>done</t>
        </is>
      </c>
      <c r="J36" t="inlineStr">
        <is>
          <t>/lustre/scratch126/casm/teams/team273/users/jd43/hsc_foldback2/PD44706/PD44706</t>
        </is>
      </c>
      <c r="K36" t="inlineStr">
        <is>
          <t>1fcdc92 (annotate SV lift + PROVIRUS_LTR, somatic_table beta-binomial het gate)</t>
        </is>
      </c>
      <c r="L36" t="inlineStr">
        <is>
          <t>yes</t>
        </is>
      </c>
      <c r="M36" t="inlineStr">
        <is>
          <t>PD44706</t>
        </is>
      </c>
      <c r="N36" t="n">
        <v>60</v>
      </c>
      <c r="O36" t="inlineStr">
        <is>
          <t>4 / 3 / 53</t>
        </is>
      </c>
      <c r="P36" t="n">
        <v>30</v>
      </c>
      <c r="Q36" t="n">
        <v>60</v>
      </c>
      <c r="R36" t="inlineStr">
        <is>
          <t>complete</t>
        </is>
      </c>
      <c r="S36" t="inlineStr">
        <is>
          <t>no</t>
        </is>
      </c>
      <c r="T36" t="inlineStr">
        <is>
          <t>tree added 2026-10-10 (zeros outgroup dropped); colonies.tsv populated 2026-10-10 (iRODS, all tips); submitted 2026-10-13 03:47 (farm22-head2), native GRCh37 (hg19.2bit + hs1-&gt;hg19 chain), LSF jobs 245034-245043, results -&gt; /nfs/users/nfs_j/jd43/results/hsc_foldback2/PD44706; 35/35 colonies; done; results copied 2026-10-13 to ~/Documents/hsc_results/PD44706; tree_fit: 119 private, 1063 informative shared, 8550 germline</t>
        </is>
      </c>
    </row>
    <row r="37">
      <c r="A37" t="inlineStr">
        <is>
          <t>PD42191</t>
        </is>
      </c>
      <c r="B37" t="inlineStr">
        <is>
          <t>SDS8</t>
        </is>
      </c>
      <c r="C37" t="inlineStr">
        <is>
          <t>Machado 2023 Nat Commun (Shwachman-Diamond)</t>
        </is>
      </c>
      <c r="D37" t="inlineStr">
        <is>
          <t>TP53 clade</t>
        </is>
      </c>
      <c r="E37" t="inlineStr">
        <is>
          <t>I254F+R248Q biallelic trunk (all 10 col)</t>
        </is>
      </c>
      <c r="F37" t="inlineStr">
        <is>
          <t>PD42191</t>
        </is>
      </c>
      <c r="G37" t="inlineStr">
        <is>
          <t>GRCh37</t>
        </is>
      </c>
      <c r="H37" t="n">
        <v>10</v>
      </c>
      <c r="I37" t="inlineStr">
        <is>
          <t>done</t>
        </is>
      </c>
      <c r="J37" t="inlineStr">
        <is>
          <t>/lustre/scratch126/casm/teams/team273/users/jd43/hsc_foldback2/PD42191/PD42191</t>
        </is>
      </c>
      <c r="K37" t="inlineStr">
        <is>
          <t>1fcdc92 (annotate SV lift + PROVIRUS_LTR, somatic_table beta-binomial het gate)</t>
        </is>
      </c>
      <c r="L37" t="inlineStr">
        <is>
          <t>yes</t>
        </is>
      </c>
      <c r="M37" t="inlineStr">
        <is>
          <t>PD42191</t>
        </is>
      </c>
      <c r="N37" t="n">
        <v>155</v>
      </c>
      <c r="O37" t="inlineStr">
        <is>
          <t>21 / 46 / 88</t>
        </is>
      </c>
      <c r="P37" t="n">
        <v>603</v>
      </c>
      <c r="Q37" t="n">
        <v>58</v>
      </c>
      <c r="R37" t="inlineStr">
        <is>
          <t>37 %</t>
        </is>
      </c>
      <c r="S37" t="inlineStr">
        <is>
          <t>no</t>
        </is>
      </c>
      <c r="T37" t="inlineStr">
        <is>
          <t>tree added 2026-10-10 (zeros outgroup dropped); colonies.tsv populated 2026-10-10 (iRODS, all tips); submitted 2026-10-17 (job IDs not recorded), native GRCh37, results -&gt; /nfs/users/nfs_j/jd43/results/hsc_foldback2/PD42191; done 2026-10-17, results copied 2026-10-18 to ~/Documents/hsc_results/PD42191</t>
        </is>
      </c>
    </row>
    <row r="38">
      <c r="A38" t="inlineStr">
        <is>
          <t>PD45886</t>
        </is>
      </c>
      <c r="B38" t="inlineStr">
        <is>
          <t>SDS10</t>
        </is>
      </c>
      <c r="C38" t="inlineStr">
        <is>
          <t>Machado 2023 Nat Commun (Shwachman-Diamond)</t>
        </is>
      </c>
      <c r="D38" t="inlineStr">
        <is>
          <t>TP53 clade</t>
        </is>
      </c>
      <c r="E38" t="inlineStr">
        <is>
          <t>H179Q (3)</t>
        </is>
      </c>
      <c r="F38" t="inlineStr">
        <is>
          <t>PD45886</t>
        </is>
      </c>
      <c r="G38" t="inlineStr">
        <is>
          <t>GRCh37</t>
        </is>
      </c>
      <c r="H38" t="n">
        <v>27</v>
      </c>
      <c r="I38" t="inlineStr">
        <is>
          <t>done</t>
        </is>
      </c>
      <c r="J38" t="inlineStr">
        <is>
          <t>/lustre/scratch126/casm/teams/team273/users/jd43/hsc_foldback2/PD45886/PD45886</t>
        </is>
      </c>
      <c r="K38" t="inlineStr">
        <is>
          <t>59f51a9 (combine fold-back strand fix; discovery reused from hsc_foldback ~5ed4f32); first run ~59b75b6</t>
        </is>
      </c>
      <c r="L38" t="inlineStr">
        <is>
          <t>yes</t>
        </is>
      </c>
      <c r="M38" t="inlineStr">
        <is>
          <t>PD45886</t>
        </is>
      </c>
      <c r="N38" t="n">
        <v>73</v>
      </c>
      <c r="O38" t="inlineStr">
        <is>
          <t>7 / 10 / 56</t>
        </is>
      </c>
      <c r="P38" t="n">
        <v>43</v>
      </c>
      <c r="Q38" t="n">
        <v>37</v>
      </c>
      <c r="R38" t="inlineStr">
        <is>
          <t>50 %</t>
        </is>
      </c>
      <c r="S38" t="inlineStr">
        <is>
          <t>no</t>
        </is>
      </c>
      <c r="T38" t="inlineStr">
        <is>
          <t>27 colonies, proj 2045; 73 private calls (B 7, C 10), 2570 germline MEIs; superseded runs (first run: 489 cruciform artefacts; hsc_foldback: lost 217 germline, strand bug) deleted 2026-10-20</t>
        </is>
      </c>
    </row>
    <row r="39">
      <c r="A39" t="inlineStr">
        <is>
          <t>PD43294</t>
        </is>
      </c>
      <c r="B39" t="inlineStr">
        <is>
          <t>SDS1</t>
        </is>
      </c>
      <c r="C39" t="inlineStr">
        <is>
          <t>Machado 2023 Nat Commun (Shwachman-Diamond)</t>
        </is>
      </c>
      <c r="D39" t="inlineStr">
        <is>
          <t>SBDS cohort</t>
        </is>
      </c>
      <c r="E39" t="inlineStr"/>
      <c r="F39" t="inlineStr">
        <is>
          <t>PD43294</t>
        </is>
      </c>
      <c r="G39" t="inlineStr">
        <is>
          <t>GRCh37</t>
        </is>
      </c>
      <c r="H39" t="n">
        <v>18</v>
      </c>
      <c r="I39" t="inlineStr">
        <is>
          <t>done</t>
        </is>
      </c>
      <c r="J39" t="inlineStr">
        <is>
          <t>/lustre/scratch126/casm/teams/team273/users/jd43/hsc_foldback2/PD43294/PD43294</t>
        </is>
      </c>
      <c r="K39" t="inlineStr">
        <is>
          <t>1fcdc92 (annotate SV lift + PROVIRUS_LTR, somatic_table beta-binomial het gate)</t>
        </is>
      </c>
      <c r="L39" t="inlineStr">
        <is>
          <t>yes</t>
        </is>
      </c>
      <c r="M39" t="inlineStr">
        <is>
          <t>PD43294</t>
        </is>
      </c>
      <c r="N39" t="n">
        <v>22</v>
      </c>
      <c r="O39" t="inlineStr">
        <is>
          <t>2 / 5 / 15</t>
        </is>
      </c>
      <c r="P39" t="n">
        <v>3</v>
      </c>
      <c r="Q39" t="n">
        <v>22</v>
      </c>
      <c r="R39" t="inlineStr">
        <is>
          <t>complete</t>
        </is>
      </c>
      <c r="S39" t="inlineStr">
        <is>
          <t>no</t>
        </is>
      </c>
      <c r="T39" t="inlineStr">
        <is>
          <t>tree added 2026-10-15 from nangalialab/SchwachmanDiamond cache/PDD.RDS (zeros outgroup dropped); colonies.tsv populated 2026-10-16 (iRODS, HSC_ASSEMBLY=GRCh37): 18/18 tips, all proj 2045; ready to submit; submitted 2026-10-17 08:32 (not by Jeremy; LSF jobs 239587-239603), native GRCh37; status 2026-10-18: all colonies discovered+genotyped, contract+calls yes; results -&gt; /nfs/users/nfs_j/jd43/results/hsc_foldback2/PD43294; results copied 2026-10-18 to ~/Documents/hsc_results/PD43294</t>
        </is>
      </c>
    </row>
    <row r="40">
      <c r="A40" t="inlineStr">
        <is>
          <t>PD43295</t>
        </is>
      </c>
      <c r="B40" t="inlineStr">
        <is>
          <t>SDS3</t>
        </is>
      </c>
      <c r="C40" t="inlineStr">
        <is>
          <t>Machado 2023 Nat Commun (Shwachman-Diamond)</t>
        </is>
      </c>
      <c r="D40" t="inlineStr">
        <is>
          <t>SBDS cohort</t>
        </is>
      </c>
      <c r="E40" t="inlineStr"/>
      <c r="F40" t="inlineStr">
        <is>
          <t>PD43295</t>
        </is>
      </c>
      <c r="G40" t="inlineStr">
        <is>
          <t>GRCh37</t>
        </is>
      </c>
      <c r="H40" t="n">
        <v>23</v>
      </c>
      <c r="I40" t="inlineStr">
        <is>
          <t>done</t>
        </is>
      </c>
      <c r="J40" t="inlineStr">
        <is>
          <t>/lustre/scratch126/casm/teams/team273/users/jd43/hsc_foldback2/PD43295/PD43295</t>
        </is>
      </c>
      <c r="K40" t="inlineStr">
        <is>
          <t>1fcdc92 (annotate SV lift + PROVIRUS_LTR, somatic_table beta-binomial het gate)</t>
        </is>
      </c>
      <c r="L40" t="inlineStr">
        <is>
          <t>yes</t>
        </is>
      </c>
      <c r="M40" t="inlineStr">
        <is>
          <t>PD43295</t>
        </is>
      </c>
      <c r="N40" t="n">
        <v>45</v>
      </c>
      <c r="O40" t="inlineStr">
        <is>
          <t>1 / 4 / 40</t>
        </is>
      </c>
      <c r="P40" t="n">
        <v>18</v>
      </c>
      <c r="Q40" t="n">
        <v>45</v>
      </c>
      <c r="R40" t="inlineStr">
        <is>
          <t>complete</t>
        </is>
      </c>
      <c r="S40" t="inlineStr">
        <is>
          <t>no</t>
        </is>
      </c>
      <c r="T40" t="inlineStr">
        <is>
          <t>tree added 2026-10-15 from nangalialab/SchwachmanDiamond cache/PDD.RDS (zeros outgroup dropped); colonies.tsv populated 2026-10-16 (iRODS, HSC_ASSEMBLY=GRCh37): 23/23 tips, all proj 2045; ready to submit; submitted 2026-10-17 08:32 (not by Jeremy; LSF jobs 239608-239631), native GRCh37; status 2026-10-18: all colonies discovered+genotyped, contract+calls yes; results -&gt; /nfs/users/nfs_j/jd43/results/hsc_foldback2/PD43295; results copied 2026-10-18 to ~/Documents/hsc_results/PD43295</t>
        </is>
      </c>
    </row>
    <row r="41">
      <c r="A41" t="inlineStr">
        <is>
          <t>PD45889</t>
        </is>
      </c>
      <c r="B41" t="inlineStr">
        <is>
          <t>SDS9</t>
        </is>
      </c>
      <c r="C41" t="inlineStr">
        <is>
          <t>Machado 2023 Nat Commun (Shwachman-Diamond)</t>
        </is>
      </c>
      <c r="D41" t="inlineStr">
        <is>
          <t>SBDS cohort</t>
        </is>
      </c>
      <c r="E41" t="inlineStr"/>
      <c r="F41" t="inlineStr">
        <is>
          <t>PD45889</t>
        </is>
      </c>
      <c r="G41" t="inlineStr">
        <is>
          <t>GRCh37</t>
        </is>
      </c>
      <c r="H41" t="n">
        <v>27</v>
      </c>
      <c r="I41" t="inlineStr">
        <is>
          <t>done</t>
        </is>
      </c>
      <c r="J41" t="inlineStr">
        <is>
          <t>/lustre/scratch126/casm/teams/team273/users/jd43/hsc_foldback2/PD45889/PD45889</t>
        </is>
      </c>
      <c r="K41" t="inlineStr">
        <is>
          <t>1fcdc92 (annotate SV lift + PROVIRUS_LTR, somatic_table beta-binomial het gate); checkout f01828e (+ hsc_chain.sh, no pipeline change)</t>
        </is>
      </c>
      <c r="L41" t="inlineStr">
        <is>
          <t>yes</t>
        </is>
      </c>
      <c r="M41" t="inlineStr">
        <is>
          <t>PD45889</t>
        </is>
      </c>
      <c r="N41" t="n">
        <v>62</v>
      </c>
      <c r="O41" t="inlineStr">
        <is>
          <t>5 / 8 / 49</t>
        </is>
      </c>
      <c r="P41" t="n">
        <v>11</v>
      </c>
      <c r="Q41" t="n">
        <v>9</v>
      </c>
      <c r="R41" t="inlineStr">
        <is>
          <t>14 %</t>
        </is>
      </c>
      <c r="S41" t="inlineStr">
        <is>
          <t>no</t>
        </is>
      </c>
      <c r="T41" t="inlineStr">
        <is>
          <t>tree added 2026-10-15 from nangalialab/SchwachmanDiamond cache/PDD.RDS (zeros outgroup dropped); colonies.tsv populated 2026-10-16 (iRODS, HSC_ASSEMBLY=GRCh37): 27/27 tips, all proj 2045; ready to submit; chain-submitted 2026-10-18 (cluster/hsc_chain.sh), native GRCh37, sd 344519, cleanup 344527, stage+discover starts immediately, results -&gt; /nfs/users/nfs_j/jd43/results/hsc_foldback2/PD45889; done on farm 2026-10-18 (somatic.xlsx 14:11); results copied 2026-10-20 to ~/Documents/hsc_results/PD45889</t>
        </is>
      </c>
    </row>
    <row r="42">
      <c r="A42" t="inlineStr">
        <is>
          <t>PD54832</t>
        </is>
      </c>
      <c r="B42" t="inlineStr"/>
      <c r="C42" t="inlineStr">
        <is>
          <t>Leongamornlert 2026 Cancer Discov (TN-ET)</t>
        </is>
      </c>
      <c r="D42" t="inlineStr">
        <is>
          <t>TP53 clade</t>
        </is>
      </c>
      <c r="E42" t="inlineStr">
        <is>
          <t>S215N</t>
        </is>
      </c>
      <c r="F42" t="inlineStr">
        <is>
          <t>PD54832</t>
        </is>
      </c>
      <c r="G42" t="inlineStr">
        <is>
          <t>GRCh37</t>
        </is>
      </c>
      <c r="H42" t="n">
        <v>49</v>
      </c>
      <c r="I42" t="inlineStr">
        <is>
          <t>done</t>
        </is>
      </c>
      <c r="J42" t="inlineStr">
        <is>
          <t>/lustre/scratch126/casm/teams/team273/users/jd43/hsc_foldback2/PD54832/PD54832</t>
        </is>
      </c>
      <c r="K42" t="inlineStr">
        <is>
          <t>1fcdc92 (annotate SV lift + PROVIRUS_LTR, somatic_table beta-binomial het gate)</t>
        </is>
      </c>
      <c r="L42" t="inlineStr">
        <is>
          <t>yes</t>
        </is>
      </c>
      <c r="M42" t="inlineStr">
        <is>
          <t>PD54832</t>
        </is>
      </c>
      <c r="N42" t="n">
        <v>19</v>
      </c>
      <c r="O42" t="inlineStr">
        <is>
          <t>0 / 0 / 19</t>
        </is>
      </c>
      <c r="P42" t="n">
        <v>13</v>
      </c>
      <c r="Q42" t="n">
        <v>19</v>
      </c>
      <c r="R42" t="inlineStr">
        <is>
          <t>complete</t>
        </is>
      </c>
      <c r="S42" t="inlineStr">
        <is>
          <t>no</t>
        </is>
      </c>
      <c r="T42" t="inlineStr">
        <is>
          <t>tree added 2026-10-10 (zeros outgroup dropped); colonies.tsv populated 2026-10-10 (iRODS, all tips); tips renamed lo00NN -&gt; PD54832b_lo00NN; tissue folder (peripheral_blood) not verified; submitted 2026-10-16 (job IDs not recorded), native GRCh37, results -&gt; /nfs/users/nfs_j/jd43/results/hsc_foldback2/PD54832; 49/49 colonies; done on farm 2026-10-17; results copied 2026-10-17 to ~/Documents/hsc_results/PD54832</t>
        </is>
      </c>
    </row>
    <row r="43">
      <c r="A43" t="inlineStr">
        <is>
          <t>PD51635</t>
        </is>
      </c>
      <c r="B43" t="inlineStr"/>
      <c r="C43" t="inlineStr">
        <is>
          <t>Kamizela 2025 Nature (CML)</t>
        </is>
      </c>
      <c r="D43" t="inlineStr">
        <is>
          <t>TP53 clade; BCR::ABL1</t>
        </is>
      </c>
      <c r="E43" t="inlineStr">
        <is>
          <t>L130F (BCR::ABL1-negative colony)</t>
        </is>
      </c>
      <c r="F43" t="inlineStr">
        <is>
          <t>PD51635</t>
        </is>
      </c>
      <c r="G43" t="inlineStr">
        <is>
          <t>GRCh38</t>
        </is>
      </c>
      <c r="H43" t="n">
        <v>117</v>
      </c>
      <c r="I43" t="inlineStr">
        <is>
          <t>done</t>
        </is>
      </c>
      <c r="J43" t="inlineStr">
        <is>
          <t>/lustre/scratch126/casm/teams/team273/users/jd43/hsc/PD51635/PD51635</t>
        </is>
      </c>
      <c r="K43" t="inlineStr">
        <is>
          <t>~42d6e74 (inferred, hsc-deploy 2026-10-06); report 700ecf8</t>
        </is>
      </c>
      <c r="L43" t="inlineStr">
        <is>
          <t>yes</t>
        </is>
      </c>
      <c r="M43" t="inlineStr">
        <is>
          <t>PD51635</t>
        </is>
      </c>
      <c r="N43" t="n">
        <v>102</v>
      </c>
      <c r="O43" t="inlineStr">
        <is>
          <t>10 / 15 / 77</t>
        </is>
      </c>
      <c r="P43" t="inlineStr"/>
      <c r="Q43" t="n">
        <v>30</v>
      </c>
      <c r="R43" t="inlineStr">
        <is>
          <t>29 %</t>
        </is>
      </c>
      <c r="S43" t="inlineStr">
        <is>
          <t>no</t>
        </is>
      </c>
      <c r="T43" t="inlineStr">
        <is>
          <t>first HSC patient; review export in ~/Documents/hsc_results/PD51635/review_export</t>
        </is>
      </c>
    </row>
    <row r="44">
      <c r="A44" t="inlineStr">
        <is>
          <t>PD51632</t>
        </is>
      </c>
      <c r="B44" t="inlineStr"/>
      <c r="C44" t="inlineStr">
        <is>
          <t>Kamizela 2025 Nature (CML)</t>
        </is>
      </c>
      <c r="D44" t="inlineStr">
        <is>
          <t>BCR::ABL1</t>
        </is>
      </c>
      <c r="E44" t="inlineStr"/>
      <c r="F44" t="inlineStr">
        <is>
          <t>PD51632</t>
        </is>
      </c>
      <c r="G44" t="inlineStr">
        <is>
          <t>GRCh38</t>
        </is>
      </c>
      <c r="H44" t="n">
        <v>83</v>
      </c>
      <c r="I44" t="inlineStr">
        <is>
          <t>done</t>
        </is>
      </c>
      <c r="J44" t="inlineStr">
        <is>
          <t>/lustre/scratch126/casm/teams/team273/users/jd43/hsc_foldback2/PD51632/PD51632</t>
        </is>
      </c>
      <c r="K44" t="inlineStr">
        <is>
          <t>1fcdc92 (annotate SV lift + PROVIRUS_LTR, somatic_table beta-binomial het gate)</t>
        </is>
      </c>
      <c r="L44" t="inlineStr">
        <is>
          <t>yes</t>
        </is>
      </c>
      <c r="M44" t="inlineStr">
        <is>
          <t>PD51632</t>
        </is>
      </c>
      <c r="N44" t="n">
        <v>30</v>
      </c>
      <c r="O44" t="inlineStr">
        <is>
          <t>2 / 1 / 27</t>
        </is>
      </c>
      <c r="P44" t="n">
        <v>5</v>
      </c>
      <c r="Q44" t="n">
        <v>3</v>
      </c>
      <c r="R44" t="inlineStr">
        <is>
          <t>10 %</t>
        </is>
      </c>
      <c r="S44" t="inlineStr">
        <is>
          <t>no</t>
        </is>
      </c>
      <c r="T44" t="inlineStr">
        <is>
          <t>submitted 2026-10-12, results -&gt; /nfs/users/nfs_j/jd43/results/hsc_foldback2/PD51632; 83/83 colonies GRCh38; done; results copied 2026-10-13 to ~/Documents/hsc_results/PD51632; tree_fit: 222 private, 2035 informative shared, 9028 germline</t>
        </is>
      </c>
    </row>
    <row r="45">
      <c r="A45" t="inlineStr">
        <is>
          <t>PD51633</t>
        </is>
      </c>
      <c r="B45" t="inlineStr"/>
      <c r="C45" t="inlineStr">
        <is>
          <t>Kamizela 2025 Nature (CML)</t>
        </is>
      </c>
      <c r="D45" t="inlineStr">
        <is>
          <t>BCR::ABL1</t>
        </is>
      </c>
      <c r="E45" t="inlineStr"/>
      <c r="F45" t="inlineStr">
        <is>
          <t>PD51633</t>
        </is>
      </c>
      <c r="G45" t="inlineStr">
        <is>
          <t>GRCh38</t>
        </is>
      </c>
      <c r="H45" t="n">
        <v>81</v>
      </c>
      <c r="I45" t="inlineStr">
        <is>
          <t>done</t>
        </is>
      </c>
      <c r="J45" t="inlineStr">
        <is>
          <t>/lustre/scratch126/casm/teams/team273/users/jd43/hsc_foldback2/PD51633/PD51633</t>
        </is>
      </c>
      <c r="K45" t="inlineStr">
        <is>
          <t>1fcdc92 (annotate SV lift + PROVIRUS_LTR, somatic_table beta-binomial het gate)</t>
        </is>
      </c>
      <c r="L45" t="inlineStr">
        <is>
          <t>yes</t>
        </is>
      </c>
      <c r="M45" t="inlineStr">
        <is>
          <t>PD51633</t>
        </is>
      </c>
      <c r="N45" t="n">
        <v>23</v>
      </c>
      <c r="O45" t="inlineStr">
        <is>
          <t>1 / 2 / 20</t>
        </is>
      </c>
      <c r="P45" t="n">
        <v>13</v>
      </c>
      <c r="Q45" t="n">
        <v>2</v>
      </c>
      <c r="R45" t="inlineStr">
        <is>
          <t>8 %</t>
        </is>
      </c>
      <c r="S45" t="inlineStr">
        <is>
          <t>no</t>
        </is>
      </c>
      <c r="T45" t="inlineStr">
        <is>
          <t>submitted 2026-10-12 19:09 (farm22-head2), LSF jobs 135445-135468, results -&gt; /nfs/users/nfs_j/jd43/results/hsc_foldback2/PD51633; 81/81 colonies GRCh38; done; results copied 2026-10-13 to ~/Documents/hsc_results/PD51633; tree_fit: 95 private, 2058 informative shared, 6183 germline</t>
        </is>
      </c>
    </row>
    <row r="46">
      <c r="A46" t="inlineStr">
        <is>
          <t>PD51634</t>
        </is>
      </c>
      <c r="B46" t="inlineStr"/>
      <c r="C46" t="inlineStr">
        <is>
          <t>Kamizela 2025 Nature (CML)</t>
        </is>
      </c>
      <c r="D46" t="inlineStr">
        <is>
          <t>BCR::ABL1</t>
        </is>
      </c>
      <c r="E46" t="inlineStr"/>
      <c r="F46" t="inlineStr">
        <is>
          <t>PD51634</t>
        </is>
      </c>
      <c r="G46" t="inlineStr">
        <is>
          <t>GRCh38</t>
        </is>
      </c>
      <c r="H46" t="n">
        <v>117</v>
      </c>
      <c r="I46" t="inlineStr">
        <is>
          <t>done</t>
        </is>
      </c>
      <c r="J46" t="inlineStr">
        <is>
          <t>/lustre/scratch126/casm/teams/team273/users/jd43/hsc_foldback2/PD51634/PD51634</t>
        </is>
      </c>
      <c r="K46" t="inlineStr">
        <is>
          <t>c72e5a6 (dense-filter removal + supp-twin exclusion in)</t>
        </is>
      </c>
      <c r="L46" t="inlineStr">
        <is>
          <t>yes</t>
        </is>
      </c>
      <c r="M46" t="inlineStr">
        <is>
          <t>PD51634</t>
        </is>
      </c>
      <c r="N46" t="n">
        <v>61</v>
      </c>
      <c r="O46" t="inlineStr">
        <is>
          <t>3 / 4 / 54</t>
        </is>
      </c>
      <c r="P46" t="n">
        <v>35</v>
      </c>
      <c r="Q46" t="n">
        <v>7</v>
      </c>
      <c r="R46" t="inlineStr">
        <is>
          <t>11 %</t>
        </is>
      </c>
      <c r="S46" t="inlineStr">
        <is>
          <t>no</t>
        </is>
      </c>
      <c r="T46" t="inlineStr">
        <is>
          <t>submitted 2026-10-11 08:16, LSF jobs 915507-915515; done, results copied 2026-10-12 to ~/Documents/hsc_results/PD51634 (from /nfs/users/nfs_j/jd43/results/hsc_foldback2/PD51634); 117/123 tips have a BAM: PD51634b (bulk?) and ch_lo0003/0007/0013/0026/0030 missing from the iRODS populate, run without them; tree_fit: 303 private, 2849 informative shared, 8348 germline</t>
        </is>
      </c>
    </row>
    <row r="47">
      <c r="A47" t="inlineStr">
        <is>
          <t>PD56961</t>
        </is>
      </c>
      <c r="B47" t="inlineStr"/>
      <c r="C47" t="inlineStr">
        <is>
          <t>Kamizela 2025 Nature (CML)</t>
        </is>
      </c>
      <c r="D47" t="inlineStr">
        <is>
          <t>BCR::ABL1</t>
        </is>
      </c>
      <c r="E47" t="inlineStr"/>
      <c r="F47" t="inlineStr">
        <is>
          <t>PD56961</t>
        </is>
      </c>
      <c r="G47" t="inlineStr">
        <is>
          <t>GRCh38</t>
        </is>
      </c>
      <c r="H47" t="n">
        <v>163</v>
      </c>
      <c r="I47" t="inlineStr">
        <is>
          <t>done</t>
        </is>
      </c>
      <c r="J47" t="inlineStr">
        <is>
          <t>/lustre/scratch126/casm/teams/team273/users/jd43/hsc_foldback2/PD56961/PD56961</t>
        </is>
      </c>
      <c r="K47" t="inlineStr">
        <is>
          <t>3bb7d22 (fold-back strand fix in; predates fa616a2 supp-twin exclusion + 9626905 dense-filter removal)</t>
        </is>
      </c>
      <c r="L47" t="inlineStr">
        <is>
          <t>yes</t>
        </is>
      </c>
      <c r="M47" t="inlineStr">
        <is>
          <t>PD56961</t>
        </is>
      </c>
      <c r="N47" t="n">
        <v>20</v>
      </c>
      <c r="O47" t="inlineStr">
        <is>
          <t>5 / 3 / 12</t>
        </is>
      </c>
      <c r="P47" t="n">
        <v>32</v>
      </c>
      <c r="Q47" t="n">
        <v>19</v>
      </c>
      <c r="R47" t="inlineStr">
        <is>
          <t>95 %</t>
        </is>
      </c>
      <c r="S47" t="inlineStr">
        <is>
          <t>no</t>
        </is>
      </c>
      <c r="T47" t="inlineStr">
        <is>
          <t>NEEDS RERUN (not scheduled): combine (2026-10-10) predates the dense-region filter removal (9626905) and the supplementary-clip twin exclusion (fa616a2); 163/163 colonies discovered + genotyped, somatic.xlsx + tree_fit written 2026-10-11 06:37</t>
        </is>
      </c>
    </row>
    <row r="48">
      <c r="A48" t="inlineStr">
        <is>
          <t>PD57332</t>
        </is>
      </c>
      <c r="B48" t="inlineStr"/>
      <c r="C48" t="inlineStr">
        <is>
          <t>Kamizela 2025 Nature (CML)</t>
        </is>
      </c>
      <c r="D48" t="inlineStr">
        <is>
          <t>BCR::ABL1</t>
        </is>
      </c>
      <c r="E48" t="inlineStr"/>
      <c r="F48" t="inlineStr">
        <is>
          <t>PD57332</t>
        </is>
      </c>
      <c r="G48" t="inlineStr">
        <is>
          <t>GRCh38</t>
        </is>
      </c>
      <c r="H48" t="n">
        <v>35</v>
      </c>
      <c r="I48" t="inlineStr">
        <is>
          <t>done</t>
        </is>
      </c>
      <c r="J48" t="inlineStr">
        <is>
          <t>/lustre/scratch126/casm/teams/team273/users/jd43/hsc_foldback2/PD57332/PD57332</t>
        </is>
      </c>
      <c r="K48" t="inlineStr">
        <is>
          <t>1fcdc92 (annotate SV lift + PROVIRUS_LTR, somatic_table beta-binomial het gate)</t>
        </is>
      </c>
      <c r="L48" t="inlineStr">
        <is>
          <t>yes</t>
        </is>
      </c>
      <c r="M48" t="inlineStr">
        <is>
          <t>PD57332</t>
        </is>
      </c>
      <c r="N48" t="n">
        <v>10</v>
      </c>
      <c r="O48" t="inlineStr">
        <is>
          <t>2 / 2 / 6</t>
        </is>
      </c>
      <c r="P48" t="n">
        <v>9</v>
      </c>
      <c r="Q48" t="n">
        <v>10</v>
      </c>
      <c r="R48" t="inlineStr">
        <is>
          <t>complete</t>
        </is>
      </c>
      <c r="S48" t="inlineStr">
        <is>
          <t>no</t>
        </is>
      </c>
      <c r="T48" t="inlineStr">
        <is>
          <t>submitted 2026-10-13 03:46 (farm22-head2), LSF jobs 244897-244907, results -&gt; /nfs/users/nfs_j/jd43/results/hsc_foldback2/PD57332; 35/35 colonies GRCh38; done; results copied 2026-10-13 to ~/Documents/hsc_results/PD57332; tree_fit: 59 private, 1184 informative shared, 5502 germline</t>
        </is>
      </c>
    </row>
    <row r="49">
      <c r="A49" t="inlineStr">
        <is>
          <t>PD57333</t>
        </is>
      </c>
      <c r="B49" t="inlineStr"/>
      <c r="C49" t="inlineStr">
        <is>
          <t>Kamizela 2025 Nature (CML)</t>
        </is>
      </c>
      <c r="D49" t="inlineStr">
        <is>
          <t>BCR::ABL1</t>
        </is>
      </c>
      <c r="E49" t="inlineStr"/>
      <c r="F49" t="inlineStr">
        <is>
          <t>PD57333</t>
        </is>
      </c>
      <c r="G49" t="inlineStr">
        <is>
          <t>GRCh38</t>
        </is>
      </c>
      <c r="H49" t="n">
        <v>75</v>
      </c>
      <c r="I49" t="inlineStr">
        <is>
          <t>done</t>
        </is>
      </c>
      <c r="J49" t="inlineStr">
        <is>
          <t>/lustre/scratch126/casm/teams/team273/users/jd43/hsc_foldback2/PD57333/PD57333</t>
        </is>
      </c>
      <c r="K49" t="inlineStr">
        <is>
          <t>1fcdc92 (annotate SV lift + PROVIRUS_LTR, somatic_table beta-binomial het gate)</t>
        </is>
      </c>
      <c r="L49" t="inlineStr">
        <is>
          <t>yes</t>
        </is>
      </c>
      <c r="M49" t="inlineStr">
        <is>
          <t>PD57333</t>
        </is>
      </c>
      <c r="N49" t="n">
        <v>46</v>
      </c>
      <c r="O49" t="inlineStr">
        <is>
          <t>1 / 2 / 43</t>
        </is>
      </c>
      <c r="P49" t="n">
        <v>115</v>
      </c>
      <c r="Q49" t="n">
        <v>46</v>
      </c>
      <c r="R49" t="inlineStr">
        <is>
          <t>complete</t>
        </is>
      </c>
      <c r="S49" t="inlineStr">
        <is>
          <t>no</t>
        </is>
      </c>
      <c r="T49" t="inlineStr">
        <is>
          <t>submitted ~2026-10-13 (job IDs not recorded); done 2026-10-15, results in /nfs/users/nfs_j/jd43/results/hsc_foldback2/PD57333; 75/75 colonies GRCh38; results copied 2026-10-16 to ~/Documents/hsc_results/PD57333; tree_fit: 234 private, 2010 informative shared, 8077 germline</t>
        </is>
      </c>
    </row>
    <row r="50">
      <c r="A50" t="inlineStr">
        <is>
          <t>PD57334</t>
        </is>
      </c>
      <c r="B50" t="inlineStr"/>
      <c r="C50" t="inlineStr">
        <is>
          <t>Kamizela 2025 Nature (CML)</t>
        </is>
      </c>
      <c r="D50" t="inlineStr">
        <is>
          <t>BCR::ABL1</t>
        </is>
      </c>
      <c r="E50" t="inlineStr"/>
      <c r="F50" t="inlineStr">
        <is>
          <t>PD57334</t>
        </is>
      </c>
      <c r="G50" t="inlineStr">
        <is>
          <t>GRCh38</t>
        </is>
      </c>
      <c r="H50" t="n">
        <v>55</v>
      </c>
      <c r="I50" t="inlineStr">
        <is>
          <t>done</t>
        </is>
      </c>
      <c r="J50" t="inlineStr">
        <is>
          <t>/lustre/scratch126/casm/teams/team273/users/jd43/hsc_foldback2/PD57334/PD57334</t>
        </is>
      </c>
      <c r="K50" t="inlineStr">
        <is>
          <t>1fcdc92 (annotate SV lift + PROVIRUS_LTR, somatic_table beta-binomial het gate)</t>
        </is>
      </c>
      <c r="L50" t="inlineStr">
        <is>
          <t>yes</t>
        </is>
      </c>
      <c r="M50" t="inlineStr">
        <is>
          <t>PD57334</t>
        </is>
      </c>
      <c r="N50" t="n">
        <v>114</v>
      </c>
      <c r="O50" t="inlineStr">
        <is>
          <t>9 / 16 / 89</t>
        </is>
      </c>
      <c r="P50" t="n">
        <v>58</v>
      </c>
      <c r="Q50" t="n">
        <v>114</v>
      </c>
      <c r="R50" t="inlineStr">
        <is>
          <t>complete</t>
        </is>
      </c>
      <c r="S50" t="inlineStr">
        <is>
          <t>no</t>
        </is>
      </c>
      <c r="T50" t="inlineStr">
        <is>
          <t>submitted ~2026-10-13 (job IDs not recorded); done 2026-10-15, results in /nfs/users/nfs_j/jd43/results/hsc_foldback2/PD57334; 55/55 colonies GRCh38; results copied 2026-10-15 to ~/Documents/hsc_results/PD57334; tree_fit: 328 private, 2093 informative shared, 7410 germline</t>
        </is>
      </c>
    </row>
    <row r="51">
      <c r="A51" t="inlineStr">
        <is>
          <t>PD57335</t>
        </is>
      </c>
      <c r="B51" t="inlineStr"/>
      <c r="C51" t="inlineStr">
        <is>
          <t>Kamizela 2025 Nature (CML)</t>
        </is>
      </c>
      <c r="D51" t="inlineStr">
        <is>
          <t>BCR::ABL1</t>
        </is>
      </c>
      <c r="E51" t="inlineStr"/>
      <c r="F51" t="inlineStr">
        <is>
          <t>PD57335</t>
        </is>
      </c>
      <c r="G51" t="inlineStr">
        <is>
          <t>GRCh38</t>
        </is>
      </c>
      <c r="H51" t="n">
        <v>102</v>
      </c>
      <c r="I51" t="inlineStr">
        <is>
          <t>done</t>
        </is>
      </c>
      <c r="J51" t="inlineStr">
        <is>
          <t>/lustre/scratch126/casm/teams/team273/users/jd43/hsc_foldback2/PD57335/PD57335</t>
        </is>
      </c>
      <c r="K51" t="inlineStr">
        <is>
          <t>1fcdc92 (annotate SV lift + PROVIRUS_LTR, somatic_table beta-binomial het gate)</t>
        </is>
      </c>
      <c r="L51" t="inlineStr">
        <is>
          <t>yes</t>
        </is>
      </c>
      <c r="M51" t="inlineStr">
        <is>
          <t>PD57335</t>
        </is>
      </c>
      <c r="N51" t="n">
        <v>30</v>
      </c>
      <c r="O51" t="inlineStr">
        <is>
          <t>1 / 1 / 28</t>
        </is>
      </c>
      <c r="P51" t="n">
        <v>24</v>
      </c>
      <c r="Q51" t="n">
        <v>30</v>
      </c>
      <c r="R51" t="inlineStr">
        <is>
          <t>complete</t>
        </is>
      </c>
      <c r="S51" t="inlineStr">
        <is>
          <t>no</t>
        </is>
      </c>
      <c r="T51" t="inlineStr">
        <is>
          <t>submitted 2026-10-15 05:24, LSF jobs 699021-699042, results -&gt; /nfs/users/nfs_j/jd43/results/hsc_foldback2/PD57335; 102/102 colonies GRCh38; results copied 2026-10-17 to ~/Documents/hsc_results/PD57335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2026-10-20T03:34:50Z</dcterms:created>
  <dcterms:modified xmlns:dcterms="http://purl.org/dc/terms/" xmlns:xsi="http://www.w3.org/2001/XMLSchema-instance" xsi:type="dcterms:W3CDTF">2026-10-20T03:34:50Z</dcterms:modified>
</cp:coreProperties>
</file>