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14</v>
      </c>
      <c r="O2" s="2" t="inlineStr">
        <is>
          <t>0 / 2 / 12</t>
        </is>
      </c>
      <c r="P2" s="2" t="n">
        <v>6</v>
      </c>
      <c r="Q2" s="2" t="n">
        <v>20</v>
      </c>
      <c r="R2" s="4" t="inlineStr">
        <is>
          <t>complete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4" t="inlineStr">
        <is>
          <t>done</t>
        </is>
      </c>
      <c r="J3" s="2" t="inlineStr">
        <is>
          <t>/lustre/scratch126/casm/teams/team273/users/jd43/hsc_foldback2/PD47703/PD47703</t>
        </is>
      </c>
      <c r="K3" s="2" t="inlineStr">
        <is>
          <t>1fcdc92 (annotate SV lift + PROVIRUS_LTR, somatic_table beta-binomial het gate); checkout f01828e (+ hsc_chain.sh, no pipeline change)</t>
        </is>
      </c>
      <c r="L3" s="4" t="inlineStr">
        <is>
          <t>yes</t>
        </is>
      </c>
      <c r="M3" s="2" t="inlineStr">
        <is>
          <t>PD47703</t>
        </is>
      </c>
      <c r="N3" s="2" t="n">
        <v>42</v>
      </c>
      <c r="O3" s="2" t="inlineStr">
        <is>
          <t>15 / 8 / 19</t>
        </is>
      </c>
      <c r="P3" s="2" t="n">
        <v>38</v>
      </c>
      <c r="Q3" s="2" t="n">
        <v>0</v>
      </c>
      <c r="R3" s="5" t="inlineStr">
        <is>
          <t>not started</t>
        </is>
      </c>
      <c r="S3" s="5" t="inlineStr">
        <is>
          <t>no</t>
        </is>
      </c>
      <c r="T3" s="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/nfs/users/nfs_j/jd43/results/hsc_foldback2/PD47703; 2026-10-22: was blocked behind Pair28 (cleanup 344561 never satisfied) 10-21..10-22; all pending jobs moved from retired LSF group team273-grp to team273 (bmod -G); cg job raised 8 -&gt; 48 GB in place (bmod -M); 2026-10-31: 259/259 discovered + genotyped, no discovery exclusions; results copied 2026-10-31 to ~/Documents/hsc_results/PD47703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2" t="inlineStr">
        <is>
          <t>queued</t>
        </is>
      </c>
      <c r="J4" s="2" t="inlineStr">
        <is>
          <t>/lustre/scratch126/casm/teams/team273/users/jd43/hsc_foldback2/PD45534/PD45534</t>
        </is>
      </c>
      <c r="K4" s="2" t="inlineStr">
        <is>
          <t>1fcdc92 (annotate SV lift + PROVIRUS_LTR, somatic_table beta-binomial het gate); checkout f01828e (+ hsc_chain.sh, no pipeline change)</t>
        </is>
      </c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/nfs/users/nfs_j/jd43/results/hsc_foldback2/PD45534; 2026-10-22: was blocked behind Pair28 (cleanup 344561 never satisfied) 10-21..10-22; all pending jobs moved from retired LSF group team273-grp to team273 (bmod -G); cg job raised 8 -&gt; 48 GB in place (bmod -M)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2" t="inlineStr">
        <is>
          <t>queued</t>
        </is>
      </c>
      <c r="J5" s="2" t="inlineStr">
        <is>
          <t>/lustre/scratch126/casm/teams/team273/users/jd43/hsc_foldback2/Pair11_PD45792_PD45793/Pair11_PD45792_PD45793</t>
        </is>
      </c>
      <c r="K5" s="2" t="inlineStr">
        <is>
          <t>1fcdc92 (annotate SV lift + PROVIRUS_LTR, somatic_table beta-binomial het gate); checkout f01828e (+ hsc_chain.sh, no pipeline change)</t>
        </is>
      </c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2" t="inlineStr">
        <is>
          <t>queued</t>
        </is>
      </c>
      <c r="J6" s="2" t="inlineStr">
        <is>
          <t>/lustre/scratch126/casm/teams/team273/users/jd43/hsc_foldback2/Pair11_PD45792_PD45793/Pair11_PD45792_PD45793</t>
        </is>
      </c>
      <c r="K6" s="2" t="inlineStr">
        <is>
          <t>1fcdc92 (annotate SV lift + PROVIRUS_LTR, somatic_table beta-binomial het gate); checkout f01828e (+ hsc_chain.sh, no pipeline change)</t>
        </is>
      </c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2" t="inlineStr">
        <is>
          <t>queued</t>
        </is>
      </c>
      <c r="J7" s="2" t="inlineStr">
        <is>
          <t>/lustre/scratch126/casm/teams/team273/users/jd43/hsc_foldback2/Pair13_PD45794_PD45795/Pair13_PD45794_PD45795</t>
        </is>
      </c>
      <c r="K7" s="2" t="inlineStr">
        <is>
          <t>1fcdc92 (annotate SV lift + PROVIRUS_LTR, somatic_table beta-binomial het gate); checkout f01828e (+ hsc_chain.sh, no pipeline change)</t>
        </is>
      </c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2" t="inlineStr">
        <is>
          <t>queued</t>
        </is>
      </c>
      <c r="J8" s="2" t="inlineStr">
        <is>
          <t>/lustre/scratch126/casm/teams/team273/users/jd43/hsc_foldback2/Pair13_PD45794_PD45795/Pair13_PD45794_PD45795</t>
        </is>
      </c>
      <c r="K8" s="2" t="inlineStr">
        <is>
          <t>1fcdc92 (annotate SV lift + PROVIRUS_LTR, somatic_table beta-binomial het gate); checkout f01828e (+ hsc_chain.sh, no pipeline change)</t>
        </is>
      </c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2" t="inlineStr">
        <is>
          <t>rerun running</t>
        </is>
      </c>
      <c r="J9" s="2" t="inlineStr">
        <is>
          <t>/lustre/scratch126/casm/teams/team273/users/jd43/hsc_rediscover/Pair38_PD45808_PD45809/Pair38_PD45808_PD45809</t>
        </is>
      </c>
      <c r="K9" s="2" t="inlineStr">
        <is>
          <t>1fcdc92 (annotate SV lift + PROVIRUS_LTR, somatic_table beta-binomial het gate); checkout f01828e (+ hsc_chain.sh, no pipeline change)</t>
        </is>
      </c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TERM_MEMLIMIT at 16 GB (6.46M insertions) 2026-10-27 22:16; 3 colonies discovery "error"; rerun in hsc_rediscover with CI_MEM 128 GB; gate 549226 logged "unknown" (EXIT purged before it ran), killed the unit and deleted its staged BAMs, released PD47703-&gt;Pair40; rerun submitted 2026-10-31 06:12 in hsc_rediscover (249 discovery files reused, PT_RESTAGE=1, CI 128 GB): sd 498671, sdr 498672, ci 498673, gt 498675, gtr 498680, cg 498684, cu 498687, an 498690, rp 498695; results -&gt; /nfs/users/nfs_j/jd43/results/hsc_rediscover/Pair38_PD45808_PD45809</t>
        </is>
      </c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2" t="inlineStr">
        <is>
          <t>rerun running</t>
        </is>
      </c>
      <c r="J10" s="2" t="inlineStr">
        <is>
          <t>/lustre/scratch126/casm/teams/team273/users/jd43/hsc_rediscover/Pair38_PD45808_PD45809/Pair38_PD45808_PD45809</t>
        </is>
      </c>
      <c r="K10" s="2" t="inlineStr">
        <is>
          <t>1fcdc92 (annotate SV lift + PROVIRUS_LTR, somatic_table beta-binomial het gate); checkout f01828e (+ hsc_chain.sh, no pipeline change)</t>
        </is>
      </c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TERM_MEMLIMIT at 16 GB (6.46M insertions) 2026-10-27 22:16; 3 colonies discovery "error"; rerun in hsc_rediscover with CI_MEM 128 GB; gate 549226 logged "unknown" (EXIT purged before it ran), killed the unit and deleted its staged BAMs, released PD47703-&gt;Pair40; rerun submitted 2026-10-31 06:12 in hsc_rediscover (249 discovery files reused, PT_RESTAGE=1, CI 128 GB): sd 498671, sdr 498672, ci 498673, gt 498675, gtr 498680, cg 498684, cu 498687, an 498690, rp 498695; results -&gt; /nfs/users/nfs_j/jd43/results/hsc_rediscover/Pair38_PD45808_PD45809</t>
        </is>
      </c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6" t="inlineStr">
        <is>
          <t>running</t>
        </is>
      </c>
      <c r="J11" s="2" t="inlineStr">
        <is>
          <t>/lustre/scratch126/casm/teams/team273/users/jd43/hsc_foldback2/Pair40_PD45810_PD45811/Pair40_PD45810_PD45811</t>
        </is>
      </c>
      <c r="K11" s="2" t="inlineStr">
        <is>
          <t>1fcdc92 (annotate SV lift + PROVIRUS_LTR, somatic_table beta-binomial het gate); checkout f01828e (+ hsc_chain.sh, no pipeline change)</t>
        </is>
      </c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6" t="inlineStr">
        <is>
          <t>running</t>
        </is>
      </c>
      <c r="J12" s="2" t="inlineStr">
        <is>
          <t>/lustre/scratch126/casm/teams/team273/users/jd43/hsc_foldback2/Pair40_PD45810_PD45811/Pair40_PD45810_PD45811</t>
        </is>
      </c>
      <c r="K12" s="2" t="inlineStr">
        <is>
          <t>1fcdc92 (annotate SV lift + PROVIRUS_LTR, somatic_table beta-binomial het gate); checkout f01828e (+ hsc_chain.sh, no pipeline change)</t>
        </is>
      </c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2" t="inlineStr">
        <is>
          <t>rerun running</t>
        </is>
      </c>
      <c r="J19" s="2" t="inlineStr">
        <is>
          <t>/lustre/scratch126/casm/teams/team273/users/jd43/hsc_rediscover/Pair28_PD45804_PD45805/Pair28_PD45804_PD45805</t>
        </is>
      </c>
      <c r="K19" s="2" t="inlineStr">
        <is>
          <t>1fcdc92 (annotate SV lift + PROVIRUS_LTR, somatic_table beta-binomial het gate); checkout f01828e (+ hsc_chain.sh, no pipeline change)</t>
        </is>
      </c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hsc_rediscover; rerun submitted 2026-10-31 06:11 in hsc_rediscover (121 discovery files reused, PT_RESTAGE=1, CI 64 GB): sd 498556, sdr 498558, ci 498563, gt 498565, gtr 498568, cg 498573, cu 498579, an 498585, rp 498587; results -&gt; /nfs/users/nfs_j/jd43/results/hsc_rediscover/Pair28_PD45804_PD45805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2" t="inlineStr">
        <is>
          <t>rerun running</t>
        </is>
      </c>
      <c r="J20" s="2" t="inlineStr">
        <is>
          <t>/lustre/scratch126/casm/teams/team273/users/jd43/hsc_rediscover/Pair28_PD45804_PD45805/Pair28_PD45804_PD45805</t>
        </is>
      </c>
      <c r="K20" s="2" t="inlineStr">
        <is>
          <t>1fcdc92 (annotate SV lift + PROVIRUS_LTR, somatic_table beta-binomial het gate); checkout f01828e (+ hsc_chain.sh, no pipeline change)</t>
        </is>
      </c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hsc_rediscover; rerun submitted 2026-10-31 06:11 in hsc_rediscover (121 discovery files reused, PT_RESTAGE=1, CI 64 GB): sd 498556, sdr 498558, ci 498563, gt 498565, gtr 498568, cg 498573, cu 498579, an 498585, rp 498587; results -&gt; /nfs/users/nfs_j/jd43/results/hsc_rediscover/Pair28_PD45804_PD45805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2" t="inlineStr">
        <is>
          <t>rerun running</t>
        </is>
      </c>
      <c r="J21" s="2" t="inlineStr">
        <is>
          <t>/lustre/scratch126/casm/teams/team273/users/jd43/hsc_rediscover/Pair31_PD45806_PD45807/Pair31_PD45806_PD45807</t>
        </is>
      </c>
      <c r="K21" s="2" t="inlineStr">
        <is>
          <t>1fcdc92 (annotate SV lift + PROVIRUS_LTR, somatic_table beta-binomial het gate); checkout f01828e (+ hsc_chain.sh, no pipeline change)</t>
        </is>
      </c>
      <c r="L21" s="4" t="inlineStr">
        <is>
          <t>yes</t>
        </is>
      </c>
      <c r="M21" s="2" t="inlineStr">
        <is>
          <t>Pair31_PD45806_PD45807</t>
        </is>
      </c>
      <c r="N21" s="2" t="n">
        <v>187</v>
      </c>
      <c r="O21" s="2" t="inlineStr">
        <is>
          <t>10 / 13 / 164</t>
        </is>
      </c>
      <c r="P21" s="2" t="n">
        <v>149</v>
      </c>
      <c r="Q21" s="2" t="n">
        <v>0</v>
      </c>
      <c r="R21" s="5" t="inlineStr">
        <is>
          <t>not started</t>
        </is>
      </c>
      <c r="S21" s="5" t="inlineStr">
        <is>
          <t>no</t>
        </is>
      </c>
      <c r="T21" s="3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hard-linked); rerun submitted 2026-10-31 06:10 in hsc_rediscover (50 discovery files reused, PT_RESTAGE=1, CI 64 GB): sd 498515, sdr 498526, ci 498530, gt 498533, gtr 498536, cg 498539, cu 498541, an 498545, rp 498548; results -&gt; /nfs/users/nfs_j/jd43/results/hsc_rediscover/Pair31_PD45806_PD45807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2" t="inlineStr">
        <is>
          <t>rerun running</t>
        </is>
      </c>
      <c r="J22" s="2" t="inlineStr">
        <is>
          <t>/lustre/scratch126/casm/teams/team273/users/jd43/hsc_rediscover/Pair31_PD45806_PD45807/Pair31_PD45806_PD45807</t>
        </is>
      </c>
      <c r="K22" s="2" t="inlineStr">
        <is>
          <t>1fcdc92 (annotate SV lift + PROVIRUS_LTR, somatic_table beta-binomial het gate); checkout f01828e (+ hsc_chain.sh, no pipeline change)</t>
        </is>
      </c>
      <c r="L22" s="4" t="inlineStr">
        <is>
          <t>yes</t>
        </is>
      </c>
      <c r="M22" s="2" t="inlineStr">
        <is>
          <t>Pair31_PD45806_PD45807</t>
        </is>
      </c>
      <c r="N22" s="2" t="n">
        <v>187</v>
      </c>
      <c r="O22" s="2" t="inlineStr">
        <is>
          <t>10 / 13 / 164</t>
        </is>
      </c>
      <c r="P22" s="2" t="n">
        <v>149</v>
      </c>
      <c r="Q22" s="2" t="n">
        <v>0</v>
      </c>
      <c r="R22" s="5" t="inlineStr">
        <is>
          <t>not started</t>
        </is>
      </c>
      <c r="S22" s="5" t="inlineStr">
        <is>
          <t>no</t>
        </is>
      </c>
      <c r="T22" s="3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hard-linked); rerun submitted 2026-10-31 06:10 in hsc_rediscover (50 discovery files reused, PT_RESTAGE=1, CI 64 GB): sd 498515, sdr 498526, ci 498530, gt 498533, gtr 498536, cg 498539, cu 498541, an 498545, rp 498548; results -&gt; /nfs/users/nfs_j/jd43/results/hsc_rediscover/Pair31_PD45806_PD45807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2" t="inlineStr">
        <is>
          <t>queued</t>
        </is>
      </c>
      <c r="J23" s="2" t="inlineStr">
        <is>
          <t>/lustre/scratch126/casm/teams/team273/users/jd43/hsc_foldback2/Pair41_PD45812_PD45813/Pair41_PD45812_PD45813</t>
        </is>
      </c>
      <c r="K23" s="2" t="inlineStr">
        <is>
          <t>1fcdc92 (annotate SV lift + PROVIRUS_LTR, somatic_table beta-binomial het gate); checkout f01828e (+ hsc_chain.sh, no pipeline change)</t>
        </is>
      </c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2" t="inlineStr">
        <is>
          <t>queued</t>
        </is>
      </c>
      <c r="J24" s="2" t="inlineStr">
        <is>
          <t>/lustre/scratch126/casm/teams/team273/users/jd43/hsc_foldback2/Pair41_PD45812_PD45813/Pair41_PD45812_PD45813</t>
        </is>
      </c>
      <c r="K24" s="2" t="inlineStr">
        <is>
          <t>1fcdc92 (annotate SV lift + PROVIRUS_LTR, somatic_table beta-binomial het gate); checkout f01828e (+ hsc_chain.sh, no pipeline change)</t>
        </is>
      </c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2" t="inlineStr">
        <is>
          <t>queued</t>
        </is>
      </c>
      <c r="J26" s="2" t="inlineStr">
        <is>
          <t>/lustre/scratch126/casm/teams/team273/users/jd43/hsc_foldback2/PD49226/PD49226</t>
        </is>
      </c>
      <c r="K26" s="2" t="inlineStr">
        <is>
          <t>1fcdc92 (annotate SV lift + PROVIRUS_LTR, somatic_table beta-binomial het gate); checkout f01828e (+ hsc_chain.sh, no pipeline change)</t>
        </is>
      </c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/nfs/users/nfs_j/jd43/results/hsc_foldback2/PD49226; 2026-10-22: was blocked behind Pair28 (cleanup 344561 never satisfied) 10-21..10-22; all pending jobs moved from retired LSF group team273-grp to team273 (bmod -G); cg job raised 8 -&gt; 48 GB in place (bmod -M)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2" t="inlineStr">
        <is>
          <t>queued</t>
        </is>
      </c>
      <c r="J27" s="2" t="inlineStr">
        <is>
          <t>/lustre/scratch126/casm/teams/team273/users/jd43/hsc_foldback2/PD49227/PD49227</t>
        </is>
      </c>
      <c r="K27" s="2" t="inlineStr">
        <is>
          <t>1fcdc92 (annotate SV lift + PROVIRUS_LTR, somatic_table beta-binomial het gate); checkout f01828e (+ hsc_chain.sh, no pipeline change)</t>
        </is>
      </c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/nfs/users/nfs_j/jd43/results/hsc_foldback2/PD49227; 2026-10-22: was blocked behind Pair28 (cleanup 344561 never satisfied) 10-21..10-22; all pending jobs moved from retired LSF group team273-grp to team273 (bmod -G); cg job raised 8 -&gt; 48 GB in place (bmod -M)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2" t="inlineStr">
        <is>
          <t>queued</t>
        </is>
      </c>
      <c r="J28" s="2" t="inlineStr">
        <is>
          <t>/lustre/scratch126/casm/teams/team273/users/jd43/hsc_foldback2/PD49228/PD49228</t>
        </is>
      </c>
      <c r="K28" s="2" t="inlineStr">
        <is>
          <t>1fcdc92 (annotate SV lift + PROVIRUS_LTR, somatic_table beta-binomial het gate); checkout f01828e (+ hsc_chain.sh, no pipeline change)</t>
        </is>
      </c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/nfs/users/nfs_j/jd43/results/hsc_foldback2/PD49228; 2026-10-22: was blocked behind Pair28 (cleanup 344561 never satisfied) 10-21..10-22; all pending jobs moved from retired LSF group team273-grp to team273 (bmod -G); cg job raised 8 -&gt; 48 GB in place (bmod -M)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2" t="inlineStr">
        <is>
          <t>queued</t>
        </is>
      </c>
      <c r="J29" s="2" t="inlineStr">
        <is>
          <t>/lustre/scratch126/casm/teams/team273/users/jd43/hsc_foldback2/PD53373/PD53373</t>
        </is>
      </c>
      <c r="K29" s="2" t="inlineStr">
        <is>
          <t>1fcdc92 (annotate SV lift + PROVIRUS_LTR, somatic_table beta-binomial het gate); checkout f01828e (+ hsc_chain.sh, no pipeline change)</t>
        </is>
      </c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/nfs/users/nfs_j/jd43/results/hsc_foldback2/PD53373; 2026-10-22: was blocked behind Pair28 (cleanup 344561 never satisfied) 10-21..10-22; all pending jobs moved from retired LSF group team273-grp to team273 (bmod -G); cg job raised 8 -&gt; 48 GB in place (bmod -M)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2" t="inlineStr">
        <is>
          <t>queued</t>
        </is>
      </c>
      <c r="J30" s="2" t="inlineStr">
        <is>
          <t>/lustre/scratch126/casm/teams/team273/users/jd43/hsc_foldback2/PD53374/PD53374</t>
        </is>
      </c>
      <c r="K30" s="2" t="inlineStr">
        <is>
          <t>1fcdc92 (annotate SV lift + PROVIRUS_LTR, somatic_table beta-binomial het gate); checkout f01828e (+ hsc_chain.sh, no pipeline change)</t>
        </is>
      </c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/nfs/users/nfs_j/jd43/results/hsc_foldback2/PD53374; 2026-10-22: was blocked behind Pair28 (cleanup 344561 never satisfied) 10-21..10-22; all pending jobs moved from retired LSF group team273-grp to team273 (bmod -G); cg job raised 8 -&gt; 48 GB in place (bmod -M)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4" t="inlineStr">
        <is>
          <t>done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4" t="inlineStr">
        <is>
          <t>yes</t>
        </is>
      </c>
      <c r="M31" s="2" t="inlineStr">
        <is>
          <t>PD43975</t>
        </is>
      </c>
      <c r="N31" s="2" t="n">
        <v>25</v>
      </c>
      <c r="O31" s="2" t="inlineStr">
        <is>
          <t>1 / 1 / 23</t>
        </is>
      </c>
      <c r="P31" s="2" t="n">
        <v>7</v>
      </c>
      <c r="Q31" s="2" t="n">
        <v>25</v>
      </c>
      <c r="R31" s="4" t="inlineStr">
        <is>
          <t>complete</t>
        </is>
      </c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4" t="inlineStr">
        <is>
          <t>done</t>
        </is>
      </c>
      <c r="J32" s="2" t="inlineStr">
        <is>
          <t>/lustre/scratch126/casm/teams/team273/users/jd43/hsc_foldback2/PD43293/PD43293</t>
        </is>
      </c>
      <c r="K32" s="2" t="inlineStr">
        <is>
          <t>1fcdc92 (annotate SV lift + PROVIRUS_LTR, somatic_table beta-binomial het gate)</t>
        </is>
      </c>
      <c r="L32" s="4" t="inlineStr">
        <is>
          <t>yes</t>
        </is>
      </c>
      <c r="M32" s="2" t="inlineStr">
        <is>
          <t>PD43293</t>
        </is>
      </c>
      <c r="N32" s="2" t="n">
        <v>48</v>
      </c>
      <c r="O32" s="2" t="inlineStr">
        <is>
          <t>10 / 11 / 27</t>
        </is>
      </c>
      <c r="P32" s="2" t="n">
        <v>6</v>
      </c>
      <c r="Q32" s="2" t="n">
        <v>48</v>
      </c>
      <c r="R32" s="4" t="inlineStr">
        <is>
          <t>complete</t>
        </is>
      </c>
      <c r="S32" s="5" t="inlineStr">
        <is>
          <t>no</t>
        </is>
      </c>
      <c r="T32" s="3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4" t="inlineStr">
        <is>
          <t>done</t>
        </is>
      </c>
      <c r="J33" s="2" t="inlineStr">
        <is>
          <t>/lustre/scratch126/casm/teams/team273/users/jd43/hsc_foldback2/SDS5_PD42190_PD45888/SDS5_PD42190_PD45888</t>
        </is>
      </c>
      <c r="K33" s="2" t="inlineStr">
        <is>
          <t>1fcdc92 (annotate SV lift + PROVIRUS_LTR, somatic_table beta-binomial het gate); checkout f01828e (+ hsc_chain.sh, no pipeline change)</t>
        </is>
      </c>
      <c r="L33" s="4" t="inlineStr">
        <is>
          <t>yes</t>
        </is>
      </c>
      <c r="M33" s="2" t="inlineStr">
        <is>
          <t>SDS5_PD42190_PD45888</t>
        </is>
      </c>
      <c r="N33" s="2" t="n">
        <v>117</v>
      </c>
      <c r="O33" s="2" t="inlineStr">
        <is>
          <t>2 / 4 / 111</t>
        </is>
      </c>
      <c r="P33" s="2" t="n">
        <v>93</v>
      </c>
      <c r="Q33" s="2" t="n">
        <v>4</v>
      </c>
      <c r="R33" s="2" t="inlineStr">
        <is>
          <t>3 %</t>
        </is>
      </c>
      <c r="S33" s="5" t="inlineStr">
        <is>
          <t>no</t>
        </is>
      </c>
      <c r="T33" s="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4" t="inlineStr">
        <is>
          <t>done</t>
        </is>
      </c>
      <c r="J34" s="2" t="inlineStr">
        <is>
          <t>/lustre/scratch126/casm/teams/team273/users/jd43/hsc_foldback2/SDS5_PD42190_PD45888/SDS5_PD42190_PD45888</t>
        </is>
      </c>
      <c r="K34" s="2" t="inlineStr">
        <is>
          <t>1fcdc92 (annotate SV lift + PROVIRUS_LTR, somatic_table beta-binomial het gate); checkout f01828e (+ hsc_chain.sh, no pipeline change)</t>
        </is>
      </c>
      <c r="L34" s="4" t="inlineStr">
        <is>
          <t>yes</t>
        </is>
      </c>
      <c r="M34" s="2" t="inlineStr">
        <is>
          <t>SDS5_PD42190_PD45888</t>
        </is>
      </c>
      <c r="N34" s="2" t="n">
        <v>117</v>
      </c>
      <c r="O34" s="2" t="inlineStr">
        <is>
          <t>2 / 4 / 111</t>
        </is>
      </c>
      <c r="P34" s="2" t="n">
        <v>93</v>
      </c>
      <c r="Q34" s="2" t="n">
        <v>4</v>
      </c>
      <c r="R34" s="2" t="inlineStr">
        <is>
          <t>3 %</t>
        </is>
      </c>
      <c r="S34" s="5" t="inlineStr">
        <is>
          <t>no</t>
        </is>
      </c>
      <c r="T34" s="3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4" t="inlineStr">
        <is>
          <t>done</t>
        </is>
      </c>
      <c r="J35" s="2" t="inlineStr">
        <is>
          <t>/lustre/scratch126/casm/teams/team273/users/jd43/hsc_foldback2/PD45887/PD45887</t>
        </is>
      </c>
      <c r="K35" s="2" t="inlineStr">
        <is>
          <t>1fcdc92 (annotate SV lift + PROVIRUS_LTR, somatic_table beta-binomial het gate)</t>
        </is>
      </c>
      <c r="L35" s="4" t="inlineStr">
        <is>
          <t>yes</t>
        </is>
      </c>
      <c r="M35" s="2" t="inlineStr">
        <is>
          <t>PD45887</t>
        </is>
      </c>
      <c r="N35" s="2" t="n">
        <v>46</v>
      </c>
      <c r="O35" s="2" t="inlineStr">
        <is>
          <t>1 / 4 / 41</t>
        </is>
      </c>
      <c r="P35" s="2" t="n">
        <v>2</v>
      </c>
      <c r="Q35" s="2" t="n">
        <v>46</v>
      </c>
      <c r="R35" s="4" t="inlineStr">
        <is>
          <t>complete</t>
        </is>
      </c>
      <c r="S35" s="5" t="inlineStr">
        <is>
          <t>no</t>
        </is>
      </c>
      <c r="T35" s="3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60</v>
      </c>
      <c r="R36" s="4" t="inlineStr">
        <is>
          <t>complete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4" t="inlineStr">
        <is>
          <t>done</t>
        </is>
      </c>
      <c r="J37" s="2" t="inlineStr">
        <is>
          <t>/lustre/scratch126/casm/teams/team273/users/jd43/hsc_foldback2/PD42191/PD42191</t>
        </is>
      </c>
      <c r="K37" s="2" t="inlineStr">
        <is>
          <t>1fcdc92 (annotate SV lift + PROVIRUS_LTR, somatic_table beta-binomial het gate)</t>
        </is>
      </c>
      <c r="L37" s="4" t="inlineStr">
        <is>
          <t>yes</t>
        </is>
      </c>
      <c r="M37" s="2" t="inlineStr">
        <is>
          <t>PD42191</t>
        </is>
      </c>
      <c r="N37" s="2" t="n">
        <v>155</v>
      </c>
      <c r="O37" s="2" t="inlineStr">
        <is>
          <t>16 / 50 / 89</t>
        </is>
      </c>
      <c r="P37" s="2" t="n">
        <v>634</v>
      </c>
      <c r="Q37" s="2" t="n">
        <v>58</v>
      </c>
      <c r="R37" s="2" t="inlineStr">
        <is>
          <t>37 %</t>
        </is>
      </c>
      <c r="S37" s="5" t="inlineStr">
        <is>
          <t>no</t>
        </is>
      </c>
      <c r="T37" s="3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~/Documents/hsc_results/PD42191; 2026-10-21 matched normal PD42191m (buccal WGS, proj 2045) genotyped (job 10898, a4662c4): 30 candidates excluded as germline (28 = joint N2/N15 8-colony clade, normal VAF 0.33 pooled), 29 ROOT loci absent from normal -&gt; trunk candidates (B 5 / C 9 / D 15); best: 3:191993028 + 5:179182535 + 9:138098950 Alu TPRT; PD42191o = TARGETED (proj 3163), unusable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superseded runs (first run: 489 cruciform artefacts; hsc_foldback: lost 217 germline, strand bug) deleted 2026-10-20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4" t="inlineStr">
        <is>
          <t>done</t>
        </is>
      </c>
      <c r="J39" s="2" t="inlineStr">
        <is>
          <t>/lustre/scratch126/casm/teams/team273/users/jd43/hsc_foldback2/PD43294/PD43294</t>
        </is>
      </c>
      <c r="K39" s="2" t="inlineStr">
        <is>
          <t>1fcdc92 (annotate SV lift + PROVIRUS_LTR, somatic_table beta-binomial het gate)</t>
        </is>
      </c>
      <c r="L39" s="4" t="inlineStr">
        <is>
          <t>yes</t>
        </is>
      </c>
      <c r="M39" s="2" t="inlineStr">
        <is>
          <t>PD43294</t>
        </is>
      </c>
      <c r="N39" s="2" t="n">
        <v>22</v>
      </c>
      <c r="O39" s="2" t="inlineStr">
        <is>
          <t>2 / 5 / 15</t>
        </is>
      </c>
      <c r="P39" s="2" t="n">
        <v>3</v>
      </c>
      <c r="Q39" s="2" t="n">
        <v>22</v>
      </c>
      <c r="R39" s="4" t="inlineStr">
        <is>
          <t>complete</t>
        </is>
      </c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4" t="inlineStr">
        <is>
          <t>done</t>
        </is>
      </c>
      <c r="J40" s="2" t="inlineStr">
        <is>
          <t>/lustre/scratch126/casm/teams/team273/users/jd43/hsc_foldback2/PD43295/PD43295</t>
        </is>
      </c>
      <c r="K40" s="2" t="inlineStr">
        <is>
          <t>1fcdc92 (annotate SV lift + PROVIRUS_LTR, somatic_table beta-binomial het gate)</t>
        </is>
      </c>
      <c r="L40" s="4" t="inlineStr">
        <is>
          <t>yes</t>
        </is>
      </c>
      <c r="M40" s="2" t="inlineStr">
        <is>
          <t>PD43295</t>
        </is>
      </c>
      <c r="N40" s="2" t="n">
        <v>45</v>
      </c>
      <c r="O40" s="2" t="inlineStr">
        <is>
          <t>1 / 4 / 40</t>
        </is>
      </c>
      <c r="P40" s="2" t="n">
        <v>18</v>
      </c>
      <c r="Q40" s="2" t="n">
        <v>45</v>
      </c>
      <c r="R40" s="4" t="inlineStr">
        <is>
          <t>complete</t>
        </is>
      </c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4" t="inlineStr">
        <is>
          <t>done</t>
        </is>
      </c>
      <c r="J41" s="2" t="inlineStr">
        <is>
          <t>/lustre/scratch126/casm/teams/team273/users/jd43/hsc_foldback2/PD45889/PD45889</t>
        </is>
      </c>
      <c r="K41" s="2" t="inlineStr">
        <is>
          <t>1fcdc92 (annotate SV lift + PROVIRUS_LTR, somatic_table beta-binomial het gate); checkout f01828e (+ hsc_chain.sh, no pipeline change)</t>
        </is>
      </c>
      <c r="L41" s="4" t="inlineStr">
        <is>
          <t>yes</t>
        </is>
      </c>
      <c r="M41" s="2" t="inlineStr">
        <is>
          <t>PD45889</t>
        </is>
      </c>
      <c r="N41" s="2" t="n">
        <v>62</v>
      </c>
      <c r="O41" s="2" t="inlineStr">
        <is>
          <t>5 / 8 / 49</t>
        </is>
      </c>
      <c r="P41" s="2" t="n">
        <v>11</v>
      </c>
      <c r="Q41" s="2" t="n">
        <v>9</v>
      </c>
      <c r="R41" s="2" t="inlineStr">
        <is>
          <t>14 %</t>
        </is>
      </c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4" t="inlineStr">
        <is>
          <t>done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4" t="inlineStr">
        <is>
          <t>yes</t>
        </is>
      </c>
      <c r="M42" s="2" t="inlineStr">
        <is>
          <t>PD54832</t>
        </is>
      </c>
      <c r="N42" s="2" t="n">
        <v>19</v>
      </c>
      <c r="O42" s="2" t="inlineStr">
        <is>
          <t>0 / 0 / 19</t>
        </is>
      </c>
      <c r="P42" s="2" t="n">
        <v>13</v>
      </c>
      <c r="Q42" s="2" t="n">
        <v>19</v>
      </c>
      <c r="R42" s="4" t="inlineStr">
        <is>
          <t>complete</t>
        </is>
      </c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19</v>
      </c>
      <c r="R47" s="2" t="inlineStr">
        <is>
          <t>95 %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10</v>
      </c>
      <c r="R48" s="4" t="inlineStr">
        <is>
          <t>complete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46</v>
      </c>
      <c r="R49" s="4" t="inlineStr">
        <is>
          <t>complete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114</v>
      </c>
      <c r="R50" s="4" t="inlineStr">
        <is>
          <t>complete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4" t="inlineStr">
        <is>
          <t>done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4" t="inlineStr">
        <is>
          <t>yes</t>
        </is>
      </c>
      <c r="M51" s="2" t="inlineStr">
        <is>
          <t>PD57335</t>
        </is>
      </c>
      <c r="N51" s="2" t="n">
        <v>30</v>
      </c>
      <c r="O51" s="2" t="inlineStr">
        <is>
          <t>1 / 1 / 28</t>
        </is>
      </c>
      <c r="P51" s="2" t="n">
        <v>24</v>
      </c>
      <c r="Q51" s="2" t="n">
        <v>30</v>
      </c>
      <c r="R51" s="4" t="inlineStr">
        <is>
          <t>complete</t>
        </is>
      </c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2026-10-31 07:14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12</v>
      </c>
      <c r="D4" t="n">
        <v>13</v>
      </c>
      <c r="E4" t="n">
        <v>0</v>
      </c>
    </row>
    <row r="5">
      <c r="A5" t="inlineStr">
        <is>
          <t>BCR::ABL1</t>
        </is>
      </c>
      <c r="B5" t="n">
        <v>9</v>
      </c>
      <c r="C5" t="n">
        <v>9</v>
      </c>
      <c r="D5" t="n">
        <v>9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0</v>
      </c>
      <c r="D6" t="n">
        <v>2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11</v>
      </c>
      <c r="D7" t="n">
        <v>11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23</v>
      </c>
      <c r="D9" t="n">
        <v>26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14</v>
      </c>
      <c r="O2" t="inlineStr">
        <is>
          <t>0 / 2 / 12</t>
        </is>
      </c>
      <c r="P2" t="n">
        <v>6</v>
      </c>
      <c r="Q2" t="n">
        <v>20</v>
      </c>
      <c r="R2" t="inlineStr">
        <is>
          <t>complete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done</t>
        </is>
      </c>
      <c r="J3" t="inlineStr">
        <is>
          <t>/lustre/scratch126/casm/teams/team273/users/jd43/hsc_foldback2/PD47703/PD47703</t>
        </is>
      </c>
      <c r="K3" t="inlineStr">
        <is>
          <t>1fcdc92 (annotate SV lift + PROVIRUS_LTR, somatic_table beta-binomial het gate); checkout f01828e (+ hsc_chain.sh, no pipeline change)</t>
        </is>
      </c>
      <c r="L3" t="inlineStr">
        <is>
          <t>yes</t>
        </is>
      </c>
      <c r="M3" t="inlineStr">
        <is>
          <t>PD47703</t>
        </is>
      </c>
      <c r="N3" t="n">
        <v>42</v>
      </c>
      <c r="O3" t="inlineStr">
        <is>
          <t>15 / 8 / 19</t>
        </is>
      </c>
      <c r="P3" t="n">
        <v>38</v>
      </c>
      <c r="Q3" t="n">
        <v>0</v>
      </c>
      <c r="R3" t="inlineStr">
        <is>
          <t>not started</t>
        </is>
      </c>
      <c r="S3" t="inlineStr">
        <is>
          <t>no</t>
        </is>
      </c>
      <c r="T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/nfs/users/nfs_j/jd43/results/hsc_foldback2/PD47703; 2026-10-22: was blocked behind Pair28 (cleanup 344561 never satisfied) 10-21..10-22; all pending jobs moved from retired LSF group team273-grp to team273 (bmod -G); cg job raised 8 -&gt; 48 GB in place (bmod -M); 2026-10-31: 259/259 discovered + genotyped, no discovery exclusions; results copied 2026-10-31 to ~/Documents/hsc_results/PD47703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queued</t>
        </is>
      </c>
      <c r="J4" t="inlineStr">
        <is>
          <t>/lustre/scratch126/casm/teams/team273/users/jd43/hsc_foldback2/PD45534/PD45534</t>
        </is>
      </c>
      <c r="K4" t="inlineStr">
        <is>
          <t>1fcdc92 (annotate SV lift + PROVIRUS_LTR, somatic_table beta-binomial het gate); checkout f01828e (+ hsc_chain.sh, no pipeline change)</t>
        </is>
      </c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/nfs/users/nfs_j/jd43/results/hsc_foldback2/PD45534; 2026-10-22: was blocked behind Pair28 (cleanup 344561 never satisfied) 10-21..10-22; all pending jobs moved from retired LSF group team273-grp to team273 (bmod -G); cg job raised 8 -&gt; 48 GB in place (bmod -M)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queued</t>
        </is>
      </c>
      <c r="J5" t="inlineStr">
        <is>
          <t>/lustre/scratch126/casm/teams/team273/users/jd43/hsc_foldback2/Pair11_PD45792_PD45793/Pair11_PD45792_PD45793</t>
        </is>
      </c>
      <c r="K5" t="inlineStr">
        <is>
          <t>1fcdc92 (annotate SV lift + PROVIRUS_LTR, somatic_table beta-binomial het gate); checkout f01828e (+ hsc_chain.sh, no pipeline change)</t>
        </is>
      </c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queued</t>
        </is>
      </c>
      <c r="J6" t="inlineStr">
        <is>
          <t>/lustre/scratch126/casm/teams/team273/users/jd43/hsc_foldback2/Pair11_PD45792_PD45793/Pair11_PD45792_PD45793</t>
        </is>
      </c>
      <c r="K6" t="inlineStr">
        <is>
          <t>1fcdc92 (annotate SV lift + PROVIRUS_LTR, somatic_table beta-binomial het gate); checkout f01828e (+ hsc_chain.sh, no pipeline change)</t>
        </is>
      </c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queued</t>
        </is>
      </c>
      <c r="J7" t="inlineStr">
        <is>
          <t>/lustre/scratch126/casm/teams/team273/users/jd43/hsc_foldback2/Pair13_PD45794_PD45795/Pair13_PD45794_PD45795</t>
        </is>
      </c>
      <c r="K7" t="inlineStr">
        <is>
          <t>1fcdc92 (annotate SV lift + PROVIRUS_LTR, somatic_table beta-binomial het gate); checkout f01828e (+ hsc_chain.sh, no pipeline change)</t>
        </is>
      </c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queued</t>
        </is>
      </c>
      <c r="J8" t="inlineStr">
        <is>
          <t>/lustre/scratch126/casm/teams/team273/users/jd43/hsc_foldback2/Pair13_PD45794_PD45795/Pair13_PD45794_PD45795</t>
        </is>
      </c>
      <c r="K8" t="inlineStr">
        <is>
          <t>1fcdc92 (annotate SV lift + PROVIRUS_LTR, somatic_table beta-binomial het gate); checkout f01828e (+ hsc_chain.sh, no pipeline change)</t>
        </is>
      </c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rerun running</t>
        </is>
      </c>
      <c r="J9" t="inlineStr">
        <is>
          <t>/lustre/scratch126/casm/teams/team273/users/jd43/hsc_rediscover/Pair38_PD45808_PD45809/Pair38_PD45808_PD45809</t>
        </is>
      </c>
      <c r="K9" t="inlineStr">
        <is>
          <t>1fcdc92 (annotate SV lift + PROVIRUS_LTR, somatic_table beta-binomial het gate); checkout f01828e (+ hsc_chain.sh, no pipeline change)</t>
        </is>
      </c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TERM_MEMLIMIT at 16 GB (6.46M insertions) 2026-10-27 22:16; 3 colonies discovery "error"; rerun in hsc_rediscover with CI_MEM 128 GB; gate 549226 logged "unknown" (EXIT purged before it ran), killed the unit and deleted its staged BAMs, released PD47703-&gt;Pair40; rerun submitted 2026-10-31 06:12 in hsc_rediscover (249 discovery files reused, PT_RESTAGE=1, CI 128 GB): sd 498671, sdr 498672, ci 498673, gt 498675, gtr 498680, cg 498684, cu 498687, an 498690, rp 498695; results -&gt; /nfs/users/nfs_j/jd43/results/hsc_rediscover/Pair38_PD45808_PD45809</t>
        </is>
      </c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rerun running</t>
        </is>
      </c>
      <c r="J10" t="inlineStr">
        <is>
          <t>/lustre/scratch126/casm/teams/team273/users/jd43/hsc_rediscover/Pair38_PD45808_PD45809/Pair38_PD45808_PD45809</t>
        </is>
      </c>
      <c r="K10" t="inlineStr">
        <is>
          <t>1fcdc92 (annotate SV lift + PROVIRUS_LTR, somatic_table beta-binomial het gate); checkout f01828e (+ hsc_chain.sh, no pipeline change)</t>
        </is>
      </c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TERM_MEMLIMIT at 16 GB (6.46M insertions) 2026-10-27 22:16; 3 colonies discovery "error"; rerun in hsc_rediscover with CI_MEM 128 GB; gate 549226 logged "unknown" (EXIT purged before it ran), killed the unit and deleted its staged BAMs, released PD47703-&gt;Pair40; rerun submitted 2026-10-31 06:12 in hsc_rediscover (249 discovery files reused, PT_RESTAGE=1, CI 128 GB): sd 498671, sdr 498672, ci 498673, gt 498675, gtr 498680, cg 498684, cu 498687, an 498690, rp 498695; results -&gt; /nfs/users/nfs_j/jd43/results/hsc_rediscover/Pair38_PD45808_PD45809</t>
        </is>
      </c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running</t>
        </is>
      </c>
      <c r="J11" t="inlineStr">
        <is>
          <t>/lustre/scratch126/casm/teams/team273/users/jd43/hsc_foldback2/Pair40_PD45810_PD45811/Pair40_PD45810_PD45811</t>
        </is>
      </c>
      <c r="K11" t="inlineStr">
        <is>
          <t>1fcdc92 (annotate SV lift + PROVIRUS_LTR, somatic_table beta-binomial het gate); checkout f01828e (+ hsc_chain.sh, no pipeline change)</t>
        </is>
      </c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running</t>
        </is>
      </c>
      <c r="J12" t="inlineStr">
        <is>
          <t>/lustre/scratch126/casm/teams/team273/users/jd43/hsc_foldback2/Pair40_PD45810_PD45811/Pair40_PD45810_PD45811</t>
        </is>
      </c>
      <c r="K12" t="inlineStr">
        <is>
          <t>1fcdc92 (annotate SV lift + PROVIRUS_LTR, somatic_table beta-binomial het gate); checkout f01828e (+ hsc_chain.sh, no pipeline change)</t>
        </is>
      </c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rerun running</t>
        </is>
      </c>
      <c r="J19" t="inlineStr">
        <is>
          <t>/lustre/scratch126/casm/teams/team273/users/jd43/hsc_rediscover/Pair28_PD45804_PD45805/Pair28_PD45804_PD45805</t>
        </is>
      </c>
      <c r="K19" t="inlineStr">
        <is>
          <t>1fcdc92 (annotate SV lift + PROVIRUS_LTR, somatic_table beta-binomial het gate); checkout f01828e (+ hsc_chain.sh, no pipeline change)</t>
        </is>
      </c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hsc_rediscover; rerun submitted 2026-10-31 06:11 in hsc_rediscover (121 discovery files reused, PT_RESTAGE=1, CI 64 GB): sd 498556, sdr 498558, ci 498563, gt 498565, gtr 498568, cg 498573, cu 498579, an 498585, rp 498587; results -&gt; /nfs/users/nfs_j/jd43/results/hsc_rediscover/Pair28_PD45804_PD45805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rerun running</t>
        </is>
      </c>
      <c r="J20" t="inlineStr">
        <is>
          <t>/lustre/scratch126/casm/teams/team273/users/jd43/hsc_rediscover/Pair28_PD45804_PD45805/Pair28_PD45804_PD45805</t>
        </is>
      </c>
      <c r="K20" t="inlineStr">
        <is>
          <t>1fcdc92 (annotate SV lift + PROVIRUS_LTR, somatic_table beta-binomial het gate); checkout f01828e (+ hsc_chain.sh, no pipeline change)</t>
        </is>
      </c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hsc_rediscover; rerun submitted 2026-10-31 06:11 in hsc_rediscover (121 discovery files reused, PT_RESTAGE=1, CI 64 GB): sd 498556, sdr 498558, ci 498563, gt 498565, gtr 498568, cg 498573, cu 498579, an 498585, rp 498587; results -&gt; /nfs/users/nfs_j/jd43/results/hsc_rediscover/Pair28_PD45804_PD45805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rerun running</t>
        </is>
      </c>
      <c r="J21" t="inlineStr">
        <is>
          <t>/lustre/scratch126/casm/teams/team273/users/jd43/hsc_rediscover/Pair31_PD45806_PD45807/Pair31_PD45806_PD45807</t>
        </is>
      </c>
      <c r="K21" t="inlineStr">
        <is>
          <t>1fcdc92 (annotate SV lift + PROVIRUS_LTR, somatic_table beta-binomial het gate); checkout f01828e (+ hsc_chain.sh, no pipeline change)</t>
        </is>
      </c>
      <c r="L21" t="inlineStr">
        <is>
          <t>yes</t>
        </is>
      </c>
      <c r="M21" t="inlineStr">
        <is>
          <t>Pair31_PD45806_PD45807</t>
        </is>
      </c>
      <c r="N21" t="n">
        <v>187</v>
      </c>
      <c r="O21" t="inlineStr">
        <is>
          <t>10 / 13 / 164</t>
        </is>
      </c>
      <c r="P21" t="n">
        <v>149</v>
      </c>
      <c r="Q21" t="n">
        <v>0</v>
      </c>
      <c r="R21" t="inlineStr">
        <is>
          <t>not started</t>
        </is>
      </c>
      <c r="S21" t="inlineStr">
        <is>
          <t>no</t>
        </is>
      </c>
      <c r="T21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hard-linked); rerun submitted 2026-10-31 06:10 in hsc_rediscover (50 discovery files reused, PT_RESTAGE=1, CI 64 GB): sd 498515, sdr 498526, ci 498530, gt 498533, gtr 498536, cg 498539, cu 498541, an 498545, rp 498548; results -&gt; /nfs/users/nfs_j/jd43/results/hsc_rediscover/Pair31_PD45806_PD45807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rerun running</t>
        </is>
      </c>
      <c r="J22" t="inlineStr">
        <is>
          <t>/lustre/scratch126/casm/teams/team273/users/jd43/hsc_rediscover/Pair31_PD45806_PD45807/Pair31_PD45806_PD45807</t>
        </is>
      </c>
      <c r="K22" t="inlineStr">
        <is>
          <t>1fcdc92 (annotate SV lift + PROVIRUS_LTR, somatic_table beta-binomial het gate); checkout f01828e (+ hsc_chain.sh, no pipeline change)</t>
        </is>
      </c>
      <c r="L22" t="inlineStr">
        <is>
          <t>yes</t>
        </is>
      </c>
      <c r="M22" t="inlineStr">
        <is>
          <t>Pair31_PD45806_PD45807</t>
        </is>
      </c>
      <c r="N22" t="n">
        <v>187</v>
      </c>
      <c r="O22" t="inlineStr">
        <is>
          <t>10 / 13 / 164</t>
        </is>
      </c>
      <c r="P22" t="n">
        <v>149</v>
      </c>
      <c r="Q22" t="n">
        <v>0</v>
      </c>
      <c r="R22" t="inlineStr">
        <is>
          <t>not started</t>
        </is>
      </c>
      <c r="S22" t="inlineStr">
        <is>
          <t>no</t>
        </is>
      </c>
      <c r="T22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hard-linked); rerun submitted 2026-10-31 06:10 in hsc_rediscover (50 discovery files reused, PT_RESTAGE=1, CI 64 GB): sd 498515, sdr 498526, ci 498530, gt 498533, gtr 498536, cg 498539, cu 498541, an 498545, rp 498548; results -&gt; /nfs/users/nfs_j/jd43/results/hsc_rediscover/Pair31_PD45806_PD45807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queued</t>
        </is>
      </c>
      <c r="J23" t="inlineStr">
        <is>
          <t>/lustre/scratch126/casm/teams/team273/users/jd43/hsc_foldback2/Pair41_PD45812_PD45813/Pair41_PD45812_PD45813</t>
        </is>
      </c>
      <c r="K23" t="inlineStr">
        <is>
          <t>1fcdc92 (annotate SV lift + PROVIRUS_LTR, somatic_table beta-binomial het gate); checkout f01828e (+ hsc_chain.sh, no pipeline change)</t>
        </is>
      </c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queued</t>
        </is>
      </c>
      <c r="J24" t="inlineStr">
        <is>
          <t>/lustre/scratch126/casm/teams/team273/users/jd43/hsc_foldback2/Pair41_PD45812_PD45813/Pair41_PD45812_PD45813</t>
        </is>
      </c>
      <c r="K24" t="inlineStr">
        <is>
          <t>1fcdc92 (annotate SV lift + PROVIRUS_LTR, somatic_table beta-binomial het gate); checkout f01828e (+ hsc_chain.sh, no pipeline change)</t>
        </is>
      </c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queued</t>
        </is>
      </c>
      <c r="J26" t="inlineStr">
        <is>
          <t>/lustre/scratch126/casm/teams/team273/users/jd43/hsc_foldback2/PD49226/PD49226</t>
        </is>
      </c>
      <c r="K26" t="inlineStr">
        <is>
          <t>1fcdc92 (annotate SV lift + PROVIRUS_LTR, somatic_table beta-binomial het gate); checkout f01828e (+ hsc_chain.sh, no pipeline change)</t>
        </is>
      </c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/nfs/users/nfs_j/jd43/results/hsc_foldback2/PD49226; 2026-10-22: was blocked behind Pair28 (cleanup 344561 never satisfied) 10-21..10-22; all pending jobs moved from retired LSF group team273-grp to team273 (bmod -G); cg job raised 8 -&gt; 48 GB in place (bmod -M)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queued</t>
        </is>
      </c>
      <c r="J27" t="inlineStr">
        <is>
          <t>/lustre/scratch126/casm/teams/team273/users/jd43/hsc_foldback2/PD49227/PD49227</t>
        </is>
      </c>
      <c r="K27" t="inlineStr">
        <is>
          <t>1fcdc92 (annotate SV lift + PROVIRUS_LTR, somatic_table beta-binomial het gate); checkout f01828e (+ hsc_chain.sh, no pipeline change)</t>
        </is>
      </c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/nfs/users/nfs_j/jd43/results/hsc_foldback2/PD49227; 2026-10-22: was blocked behind Pair28 (cleanup 344561 never satisfied) 10-21..10-22; all pending jobs moved from retired LSF group team273-grp to team273 (bmod -G); cg job raised 8 -&gt; 48 GB in place (bmod -M)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queued</t>
        </is>
      </c>
      <c r="J28" t="inlineStr">
        <is>
          <t>/lustre/scratch126/casm/teams/team273/users/jd43/hsc_foldback2/PD49228/PD49228</t>
        </is>
      </c>
      <c r="K28" t="inlineStr">
        <is>
          <t>1fcdc92 (annotate SV lift + PROVIRUS_LTR, somatic_table beta-binomial het gate); checkout f01828e (+ hsc_chain.sh, no pipeline change)</t>
        </is>
      </c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/nfs/users/nfs_j/jd43/results/hsc_foldback2/PD49228; 2026-10-22: was blocked behind Pair28 (cleanup 344561 never satisfied) 10-21..10-22; all pending jobs moved from retired LSF group team273-grp to team273 (bmod -G); cg job raised 8 -&gt; 48 GB in place (bmod -M)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queued</t>
        </is>
      </c>
      <c r="J29" t="inlineStr">
        <is>
          <t>/lustre/scratch126/casm/teams/team273/users/jd43/hsc_foldback2/PD53373/PD53373</t>
        </is>
      </c>
      <c r="K29" t="inlineStr">
        <is>
          <t>1fcdc92 (annotate SV lift + PROVIRUS_LTR, somatic_table beta-binomial het gate); checkout f01828e (+ hsc_chain.sh, no pipeline change)</t>
        </is>
      </c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/nfs/users/nfs_j/jd43/results/hsc_foldback2/PD53373; 2026-10-22: was blocked behind Pair28 (cleanup 344561 never satisfied) 10-21..10-22; all pending jobs moved from retired LSF group team273-grp to team273 (bmod -G); cg job raised 8 -&gt; 48 GB in place (bmod -M)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queued</t>
        </is>
      </c>
      <c r="J30" t="inlineStr">
        <is>
          <t>/lustre/scratch126/casm/teams/team273/users/jd43/hsc_foldback2/PD53374/PD53374</t>
        </is>
      </c>
      <c r="K30" t="inlineStr">
        <is>
          <t>1fcdc92 (annotate SV lift + PROVIRUS_LTR, somatic_table beta-binomial het gate); checkout f01828e (+ hsc_chain.sh, no pipeline change)</t>
        </is>
      </c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/nfs/users/nfs_j/jd43/results/hsc_foldback2/PD53374; 2026-10-22: was blocked behind Pair28 (cleanup 344561 never satisfied) 10-21..10-22; all pending jobs moved from retired LSF group team273-grp to team273 (bmod -G); cg job raised 8 -&gt; 48 GB in place (bmod -M)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done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yes</t>
        </is>
      </c>
      <c r="M31" t="inlineStr">
        <is>
          <t>PD43975</t>
        </is>
      </c>
      <c r="N31" t="n">
        <v>25</v>
      </c>
      <c r="O31" t="inlineStr">
        <is>
          <t>1 / 1 / 23</t>
        </is>
      </c>
      <c r="P31" t="n">
        <v>7</v>
      </c>
      <c r="Q31" t="n">
        <v>25</v>
      </c>
      <c r="R31" t="inlineStr">
        <is>
          <t>complete</t>
        </is>
      </c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done</t>
        </is>
      </c>
      <c r="J32" t="inlineStr">
        <is>
          <t>/lustre/scratch126/casm/teams/team273/users/jd43/hsc_foldback2/PD43293/PD43293</t>
        </is>
      </c>
      <c r="K32" t="inlineStr">
        <is>
          <t>1fcdc92 (annotate SV lift + PROVIRUS_LTR, somatic_table beta-binomial het gate)</t>
        </is>
      </c>
      <c r="L32" t="inlineStr">
        <is>
          <t>yes</t>
        </is>
      </c>
      <c r="M32" t="inlineStr">
        <is>
          <t>PD43293</t>
        </is>
      </c>
      <c r="N32" t="n">
        <v>48</v>
      </c>
      <c r="O32" t="inlineStr">
        <is>
          <t>10 / 11 / 27</t>
        </is>
      </c>
      <c r="P32" t="n">
        <v>6</v>
      </c>
      <c r="Q32" t="n">
        <v>48</v>
      </c>
      <c r="R32" t="inlineStr">
        <is>
          <t>complete</t>
        </is>
      </c>
      <c r="S32" t="inlineStr">
        <is>
          <t>no</t>
        </is>
      </c>
      <c r="T32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done</t>
        </is>
      </c>
      <c r="J33" t="inlineStr">
        <is>
          <t>/lustre/scratch126/casm/teams/team273/users/jd43/hsc_foldback2/SDS5_PD42190_PD45888/SDS5_PD42190_PD45888</t>
        </is>
      </c>
      <c r="K33" t="inlineStr">
        <is>
          <t>1fcdc92 (annotate SV lift + PROVIRUS_LTR, somatic_table beta-binomial het gate); checkout f01828e (+ hsc_chain.sh, no pipeline change)</t>
        </is>
      </c>
      <c r="L33" t="inlineStr">
        <is>
          <t>yes</t>
        </is>
      </c>
      <c r="M33" t="inlineStr">
        <is>
          <t>SDS5_PD42190_PD45888</t>
        </is>
      </c>
      <c r="N33" t="n">
        <v>117</v>
      </c>
      <c r="O33" t="inlineStr">
        <is>
          <t>2 / 4 / 111</t>
        </is>
      </c>
      <c r="P33" t="n">
        <v>93</v>
      </c>
      <c r="Q33" t="n">
        <v>4</v>
      </c>
      <c r="R33" t="inlineStr">
        <is>
          <t>3 %</t>
        </is>
      </c>
      <c r="S33" t="inlineStr">
        <is>
          <t>no</t>
        </is>
      </c>
      <c r="T3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done</t>
        </is>
      </c>
      <c r="J34" t="inlineStr">
        <is>
          <t>/lustre/scratch126/casm/teams/team273/users/jd43/hsc_foldback2/SDS5_PD42190_PD45888/SDS5_PD42190_PD45888</t>
        </is>
      </c>
      <c r="K34" t="inlineStr">
        <is>
          <t>1fcdc92 (annotate SV lift + PROVIRUS_LTR, somatic_table beta-binomial het gate); checkout f01828e (+ hsc_chain.sh, no pipeline change)</t>
        </is>
      </c>
      <c r="L34" t="inlineStr">
        <is>
          <t>yes</t>
        </is>
      </c>
      <c r="M34" t="inlineStr">
        <is>
          <t>SDS5_PD42190_PD45888</t>
        </is>
      </c>
      <c r="N34" t="n">
        <v>117</v>
      </c>
      <c r="O34" t="inlineStr">
        <is>
          <t>2 / 4 / 111</t>
        </is>
      </c>
      <c r="P34" t="n">
        <v>93</v>
      </c>
      <c r="Q34" t="n">
        <v>4</v>
      </c>
      <c r="R34" t="inlineStr">
        <is>
          <t>3 %</t>
        </is>
      </c>
      <c r="S34" t="inlineStr">
        <is>
          <t>no</t>
        </is>
      </c>
      <c r="T34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done</t>
        </is>
      </c>
      <c r="J35" t="inlineStr">
        <is>
          <t>/lustre/scratch126/casm/teams/team273/users/jd43/hsc_foldback2/PD45887/PD45887</t>
        </is>
      </c>
      <c r="K35" t="inlineStr">
        <is>
          <t>1fcdc92 (annotate SV lift + PROVIRUS_LTR, somatic_table beta-binomial het gate)</t>
        </is>
      </c>
      <c r="L35" t="inlineStr">
        <is>
          <t>yes</t>
        </is>
      </c>
      <c r="M35" t="inlineStr">
        <is>
          <t>PD45887</t>
        </is>
      </c>
      <c r="N35" t="n">
        <v>46</v>
      </c>
      <c r="O35" t="inlineStr">
        <is>
          <t>1 / 4 / 41</t>
        </is>
      </c>
      <c r="P35" t="n">
        <v>2</v>
      </c>
      <c r="Q35" t="n">
        <v>46</v>
      </c>
      <c r="R35" t="inlineStr">
        <is>
          <t>complete</t>
        </is>
      </c>
      <c r="S35" t="inlineStr">
        <is>
          <t>no</t>
        </is>
      </c>
      <c r="T35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60</v>
      </c>
      <c r="R36" t="inlineStr">
        <is>
          <t>complete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done</t>
        </is>
      </c>
      <c r="J37" t="inlineStr">
        <is>
          <t>/lustre/scratch126/casm/teams/team273/users/jd43/hsc_foldback2/PD42191/PD42191</t>
        </is>
      </c>
      <c r="K37" t="inlineStr">
        <is>
          <t>1fcdc92 (annotate SV lift + PROVIRUS_LTR, somatic_table beta-binomial het gate)</t>
        </is>
      </c>
      <c r="L37" t="inlineStr">
        <is>
          <t>yes</t>
        </is>
      </c>
      <c r="M37" t="inlineStr">
        <is>
          <t>PD42191</t>
        </is>
      </c>
      <c r="N37" t="n">
        <v>155</v>
      </c>
      <c r="O37" t="inlineStr">
        <is>
          <t>16 / 50 / 89</t>
        </is>
      </c>
      <c r="P37" t="n">
        <v>634</v>
      </c>
      <c r="Q37" t="n">
        <v>58</v>
      </c>
      <c r="R37" t="inlineStr">
        <is>
          <t>37 %</t>
        </is>
      </c>
      <c r="S37" t="inlineStr">
        <is>
          <t>no</t>
        </is>
      </c>
      <c r="T37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~/Documents/hsc_results/PD42191; 2026-10-21 matched normal PD42191m (buccal WGS, proj 2045) genotyped (job 10898, a4662c4): 30 candidates excluded as germline (28 = joint N2/N15 8-colony clade, normal VAF 0.33 pooled), 29 ROOT loci absent from normal -&gt; trunk candidates (B 5 / C 9 / D 15); best: 3:191993028 + 5:179182535 + 9:138098950 Alu TPRT; PD42191o = TARGETED (proj 3163), unusable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superseded runs (first run: 489 cruciform artefacts; hsc_foldback: lost 217 germline, strand bug) deleted 2026-10-20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done</t>
        </is>
      </c>
      <c r="J39" t="inlineStr">
        <is>
          <t>/lustre/scratch126/casm/teams/team273/users/jd43/hsc_foldback2/PD43294/PD43294</t>
        </is>
      </c>
      <c r="K39" t="inlineStr">
        <is>
          <t>1fcdc92 (annotate SV lift + PROVIRUS_LTR, somatic_table beta-binomial het gate)</t>
        </is>
      </c>
      <c r="L39" t="inlineStr">
        <is>
          <t>yes</t>
        </is>
      </c>
      <c r="M39" t="inlineStr">
        <is>
          <t>PD43294</t>
        </is>
      </c>
      <c r="N39" t="n">
        <v>22</v>
      </c>
      <c r="O39" t="inlineStr">
        <is>
          <t>2 / 5 / 15</t>
        </is>
      </c>
      <c r="P39" t="n">
        <v>3</v>
      </c>
      <c r="Q39" t="n">
        <v>22</v>
      </c>
      <c r="R39" t="inlineStr">
        <is>
          <t>complete</t>
        </is>
      </c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done</t>
        </is>
      </c>
      <c r="J40" t="inlineStr">
        <is>
          <t>/lustre/scratch126/casm/teams/team273/users/jd43/hsc_foldback2/PD43295/PD43295</t>
        </is>
      </c>
      <c r="K40" t="inlineStr">
        <is>
          <t>1fcdc92 (annotate SV lift + PROVIRUS_LTR, somatic_table beta-binomial het gate)</t>
        </is>
      </c>
      <c r="L40" t="inlineStr">
        <is>
          <t>yes</t>
        </is>
      </c>
      <c r="M40" t="inlineStr">
        <is>
          <t>PD43295</t>
        </is>
      </c>
      <c r="N40" t="n">
        <v>45</v>
      </c>
      <c r="O40" t="inlineStr">
        <is>
          <t>1 / 4 / 40</t>
        </is>
      </c>
      <c r="P40" t="n">
        <v>18</v>
      </c>
      <c r="Q40" t="n">
        <v>45</v>
      </c>
      <c r="R40" t="inlineStr">
        <is>
          <t>complete</t>
        </is>
      </c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done</t>
        </is>
      </c>
      <c r="J41" t="inlineStr">
        <is>
          <t>/lustre/scratch126/casm/teams/team273/users/jd43/hsc_foldback2/PD45889/PD45889</t>
        </is>
      </c>
      <c r="K41" t="inlineStr">
        <is>
          <t>1fcdc92 (annotate SV lift + PROVIRUS_LTR, somatic_table beta-binomial het gate); checkout f01828e (+ hsc_chain.sh, no pipeline change)</t>
        </is>
      </c>
      <c r="L41" t="inlineStr">
        <is>
          <t>yes</t>
        </is>
      </c>
      <c r="M41" t="inlineStr">
        <is>
          <t>PD45889</t>
        </is>
      </c>
      <c r="N41" t="n">
        <v>62</v>
      </c>
      <c r="O41" t="inlineStr">
        <is>
          <t>5 / 8 / 49</t>
        </is>
      </c>
      <c r="P41" t="n">
        <v>11</v>
      </c>
      <c r="Q41" t="n">
        <v>9</v>
      </c>
      <c r="R41" t="inlineStr">
        <is>
          <t>14 %</t>
        </is>
      </c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done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yes</t>
        </is>
      </c>
      <c r="M42" t="inlineStr">
        <is>
          <t>PD54832</t>
        </is>
      </c>
      <c r="N42" t="n">
        <v>19</v>
      </c>
      <c r="O42" t="inlineStr">
        <is>
          <t>0 / 0 / 19</t>
        </is>
      </c>
      <c r="P42" t="n">
        <v>13</v>
      </c>
      <c r="Q42" t="n">
        <v>19</v>
      </c>
      <c r="R42" t="inlineStr">
        <is>
          <t>complete</t>
        </is>
      </c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19</v>
      </c>
      <c r="R47" t="inlineStr">
        <is>
          <t>95 %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10</v>
      </c>
      <c r="R48" t="inlineStr">
        <is>
          <t>complete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46</v>
      </c>
      <c r="R49" t="inlineStr">
        <is>
          <t>complete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114</v>
      </c>
      <c r="R50" t="inlineStr">
        <is>
          <t>complete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done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yes</t>
        </is>
      </c>
      <c r="M51" t="inlineStr">
        <is>
          <t>PD57335</t>
        </is>
      </c>
      <c r="N51" t="n">
        <v>30</v>
      </c>
      <c r="O51" t="inlineStr">
        <is>
          <t>1 / 1 / 28</t>
        </is>
      </c>
      <c r="P51" t="n">
        <v>24</v>
      </c>
      <c r="Q51" t="n">
        <v>30</v>
      </c>
      <c r="R51" t="inlineStr">
        <is>
          <t>complete</t>
        </is>
      </c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2026-10-31T06:14:09Z</dcterms:created>
  <dcterms:modified xmlns:dcterms="http://purl.org/dc/terms/" xmlns:xsi="http://www.w3.org/2001/XMLSchema-instance" xsi:type="dcterms:W3CDTF">2026-10-31T06:14:09Z</dcterms:modified>
</cp:coreProperties>
</file>