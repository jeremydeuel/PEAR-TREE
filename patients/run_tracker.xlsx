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14</v>
      </c>
      <c r="O2" s="2" t="inlineStr">
        <is>
          <t>0 / 2 / 12</t>
        </is>
      </c>
      <c r="P2" s="2" t="n">
        <v>6</v>
      </c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4" t="inlineStr">
        <is>
          <t>done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4" t="inlineStr">
        <is>
          <t>yes</t>
        </is>
      </c>
      <c r="M3" s="2" t="inlineStr">
        <is>
          <t>PD47703</t>
        </is>
      </c>
      <c r="N3" s="2" t="n">
        <v>42</v>
      </c>
      <c r="O3" s="2" t="inlineStr">
        <is>
          <t>15 / 8 / 19</t>
        </is>
      </c>
      <c r="P3" s="2" t="n">
        <v>38</v>
      </c>
      <c r="Q3" s="2" t="n">
        <v>0</v>
      </c>
      <c r="R3" s="5" t="inlineStr">
        <is>
          <t>not started</t>
        </is>
      </c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-M); 2026-10-31: 259/259 discovered + genotyped, no discovery exclusions; results copied 2026-10-31 to ~/Documents/hsc_results/PD47703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failed (combine)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failed (combine)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6" t="inlineStr">
        <is>
          <t>running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6" t="inlineStr">
        <is>
          <t>running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rerun running</t>
        </is>
      </c>
      <c r="J19" s="2" t="inlineStr">
        <is>
          <t>/lustre/scratch126/casm/teams/team273/users/jd43/hsc_rediscover/Pair28_PD45804_PD45805/Pair28_PD45804_PD45805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rerun running</t>
        </is>
      </c>
      <c r="J20" s="2" t="inlineStr">
        <is>
          <t>/lustre/scratch126/casm/teams/team273/users/jd43/hsc_rediscover/Pair28_PD45804_PD45805/Pair28_PD45804_PD45805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rerun running</t>
        </is>
      </c>
      <c r="J21" s="2" t="inlineStr">
        <is>
          <t>/lustre/scratch126/casm/teams/team273/users/jd43/hsc_rediscover/Pair31_PD45806_PD45807/Pair31_PD45806_PD45807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4" t="inlineStr">
        <is>
          <t>yes</t>
        </is>
      </c>
      <c r="M21" s="2" t="inlineStr">
        <is>
          <t>Pair31_PD45806_PD45807</t>
        </is>
      </c>
      <c r="N21" s="2" t="n">
        <v>187</v>
      </c>
      <c r="O21" s="2" t="inlineStr">
        <is>
          <t>10 / 13 / 164</t>
        </is>
      </c>
      <c r="P21" s="2" t="n">
        <v>149</v>
      </c>
      <c r="Q21" s="2" t="n">
        <v>0</v>
      </c>
      <c r="R21" s="5" t="inlineStr">
        <is>
          <t>not started</t>
        </is>
      </c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rerun running</t>
        </is>
      </c>
      <c r="J22" s="2" t="inlineStr">
        <is>
          <t>/lustre/scratch126/casm/teams/team273/users/jd43/hsc_rediscover/Pair31_PD45806_PD45807/Pair31_PD45806_PD45807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4" t="inlineStr">
        <is>
          <t>yes</t>
        </is>
      </c>
      <c r="M22" s="2" t="inlineStr">
        <is>
          <t>Pair31_PD45806_PD45807</t>
        </is>
      </c>
      <c r="N22" s="2" t="n">
        <v>187</v>
      </c>
      <c r="O22" s="2" t="inlineStr">
        <is>
          <t>10 / 13 / 164</t>
        </is>
      </c>
      <c r="P22" s="2" t="n">
        <v>149</v>
      </c>
      <c r="Q22" s="2" t="n">
        <v>0</v>
      </c>
      <c r="R22" s="5" t="inlineStr">
        <is>
          <t>not started</t>
        </is>
      </c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4" t="inlineStr">
        <is>
          <t>done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4" t="inlineStr">
        <is>
          <t>yes</t>
        </is>
      </c>
      <c r="M33" s="2" t="inlineStr">
        <is>
          <t>SDS5_PD42190_PD45888</t>
        </is>
      </c>
      <c r="N33" s="2" t="n">
        <v>117</v>
      </c>
      <c r="O33" s="2" t="inlineStr">
        <is>
          <t>2 / 4 / 111</t>
        </is>
      </c>
      <c r="P33" s="2" t="n">
        <v>93</v>
      </c>
      <c r="Q33" s="2" t="n">
        <v>4</v>
      </c>
      <c r="R33" s="2" t="inlineStr">
        <is>
          <t>3 %</t>
        </is>
      </c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4" t="inlineStr">
        <is>
          <t>done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4" t="inlineStr">
        <is>
          <t>yes</t>
        </is>
      </c>
      <c r="M34" s="2" t="inlineStr">
        <is>
          <t>SDS5_PD42190_PD45888</t>
        </is>
      </c>
      <c r="N34" s="2" t="n">
        <v>117</v>
      </c>
      <c r="O34" s="2" t="inlineStr">
        <is>
          <t>2 / 4 / 111</t>
        </is>
      </c>
      <c r="P34" s="2" t="n">
        <v>93</v>
      </c>
      <c r="Q34" s="2" t="n">
        <v>4</v>
      </c>
      <c r="R34" s="2" t="inlineStr">
        <is>
          <t>3 %</t>
        </is>
      </c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46</v>
      </c>
      <c r="R35" s="4" t="inlineStr">
        <is>
          <t>complete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60</v>
      </c>
      <c r="R36" s="4" t="inlineStr">
        <is>
          <t>complete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16 / 50 / 89</t>
        </is>
      </c>
      <c r="P37" s="2" t="n">
        <v>634</v>
      </c>
      <c r="Q37" s="2" t="n">
        <v>58</v>
      </c>
      <c r="R37" s="2" t="inlineStr">
        <is>
          <t>37 %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4" t="inlineStr">
        <is>
          <t>done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4" t="inlineStr">
        <is>
          <t>yes</t>
        </is>
      </c>
      <c r="M41" s="2" t="inlineStr">
        <is>
          <t>PD45889</t>
        </is>
      </c>
      <c r="N41" s="2" t="n">
        <v>62</v>
      </c>
      <c r="O41" s="2" t="inlineStr">
        <is>
          <t>5 / 8 / 49</t>
        </is>
      </c>
      <c r="P41" s="2" t="n">
        <v>11</v>
      </c>
      <c r="Q41" s="2" t="n">
        <v>9</v>
      </c>
      <c r="R41" s="2" t="inlineStr">
        <is>
          <t>14 %</t>
        </is>
      </c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30</v>
      </c>
      <c r="R51" s="4" t="inlineStr">
        <is>
          <t>complete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2026-10-31 07:12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12</v>
      </c>
      <c r="D4" t="n">
        <v>13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2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11</v>
      </c>
      <c r="D7" t="n">
        <v>11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23</v>
      </c>
      <c r="D9" t="n">
        <v>26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14</v>
      </c>
      <c r="O2" t="inlineStr">
        <is>
          <t>0 / 2 / 12</t>
        </is>
      </c>
      <c r="P2" t="n">
        <v>6</v>
      </c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done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yes</t>
        </is>
      </c>
      <c r="M3" t="inlineStr">
        <is>
          <t>PD47703</t>
        </is>
      </c>
      <c r="N3" t="n">
        <v>42</v>
      </c>
      <c r="O3" t="inlineStr">
        <is>
          <t>15 / 8 / 19</t>
        </is>
      </c>
      <c r="P3" t="n">
        <v>38</v>
      </c>
      <c r="Q3" t="n">
        <v>0</v>
      </c>
      <c r="R3" t="inlineStr">
        <is>
          <t>not started</t>
        </is>
      </c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-M); 2026-10-31: 259/259 discovered + genotyped, no discovery exclusions; results copied 2026-10-31 to ~/Documents/hsc_results/PD47703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failed (combine)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failed (combine)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running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running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rerun running</t>
        </is>
      </c>
      <c r="J19" t="inlineStr">
        <is>
          <t>/lustre/scratch126/casm/teams/team273/users/jd43/hsc_rediscover/Pair28_PD45804_PD45805/Pair28_PD45804_PD45805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rerun running</t>
        </is>
      </c>
      <c r="J20" t="inlineStr">
        <is>
          <t>/lustre/scratch126/casm/teams/team273/users/jd43/hsc_rediscover/Pair28_PD45804_PD45805/Pair28_PD45804_PD45805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rerun running</t>
        </is>
      </c>
      <c r="J21" t="inlineStr">
        <is>
          <t>/lustre/scratch126/casm/teams/team273/users/jd43/hsc_rediscover/Pair31_PD45806_PD45807/Pair31_PD45806_PD45807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yes</t>
        </is>
      </c>
      <c r="M21" t="inlineStr">
        <is>
          <t>Pair31_PD45806_PD45807</t>
        </is>
      </c>
      <c r="N21" t="n">
        <v>187</v>
      </c>
      <c r="O21" t="inlineStr">
        <is>
          <t>10 / 13 / 164</t>
        </is>
      </c>
      <c r="P21" t="n">
        <v>149</v>
      </c>
      <c r="Q21" t="n">
        <v>0</v>
      </c>
      <c r="R21" t="inlineStr">
        <is>
          <t>not started</t>
        </is>
      </c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rerun running</t>
        </is>
      </c>
      <c r="J22" t="inlineStr">
        <is>
          <t>/lustre/scratch126/casm/teams/team273/users/jd43/hsc_rediscover/Pair31_PD45806_PD45807/Pair31_PD45806_PD45807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yes</t>
        </is>
      </c>
      <c r="M22" t="inlineStr">
        <is>
          <t>Pair31_PD45806_PD45807</t>
        </is>
      </c>
      <c r="N22" t="n">
        <v>187</v>
      </c>
      <c r="O22" t="inlineStr">
        <is>
          <t>10 / 13 / 164</t>
        </is>
      </c>
      <c r="P22" t="n">
        <v>149</v>
      </c>
      <c r="Q22" t="n">
        <v>0</v>
      </c>
      <c r="R22" t="inlineStr">
        <is>
          <t>not started</t>
        </is>
      </c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done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yes</t>
        </is>
      </c>
      <c r="M33" t="inlineStr">
        <is>
          <t>SDS5_PD42190_PD45888</t>
        </is>
      </c>
      <c r="N33" t="n">
        <v>117</v>
      </c>
      <c r="O33" t="inlineStr">
        <is>
          <t>2 / 4 / 111</t>
        </is>
      </c>
      <c r="P33" t="n">
        <v>93</v>
      </c>
      <c r="Q33" t="n">
        <v>4</v>
      </c>
      <c r="R33" t="inlineStr">
        <is>
          <t>3 %</t>
        </is>
      </c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done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yes</t>
        </is>
      </c>
      <c r="M34" t="inlineStr">
        <is>
          <t>SDS5_PD42190_PD45888</t>
        </is>
      </c>
      <c r="N34" t="n">
        <v>117</v>
      </c>
      <c r="O34" t="inlineStr">
        <is>
          <t>2 / 4 / 111</t>
        </is>
      </c>
      <c r="P34" t="n">
        <v>93</v>
      </c>
      <c r="Q34" t="n">
        <v>4</v>
      </c>
      <c r="R34" t="inlineStr">
        <is>
          <t>3 %</t>
        </is>
      </c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46</v>
      </c>
      <c r="R35" t="inlineStr">
        <is>
          <t>complete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60</v>
      </c>
      <c r="R36" t="inlineStr">
        <is>
          <t>complete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16 / 50 / 89</t>
        </is>
      </c>
      <c r="P37" t="n">
        <v>634</v>
      </c>
      <c r="Q37" t="n">
        <v>58</v>
      </c>
      <c r="R37" t="inlineStr">
        <is>
          <t>37 %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done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yes</t>
        </is>
      </c>
      <c r="M41" t="inlineStr">
        <is>
          <t>PD45889</t>
        </is>
      </c>
      <c r="N41" t="n">
        <v>62</v>
      </c>
      <c r="O41" t="inlineStr">
        <is>
          <t>5 / 8 / 49</t>
        </is>
      </c>
      <c r="P41" t="n">
        <v>11</v>
      </c>
      <c r="Q41" t="n">
        <v>9</v>
      </c>
      <c r="R41" t="inlineStr">
        <is>
          <t>14 %</t>
        </is>
      </c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30</v>
      </c>
      <c r="R51" t="inlineStr">
        <is>
          <t>complete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2026-10-31T06:12:47Z</dcterms:created>
  <dcterms:modified xmlns:dcterms="http://purl.org/dc/terms/" xmlns:xsi="http://www.w3.org/2001/XMLSchema-instance" xsi:type="dcterms:W3CDTF">2026-10-31T06:12:47Z</dcterms:modified>
</cp:coreProperties>
</file>