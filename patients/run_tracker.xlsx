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_generated" sheetId="3" state="hidden" r:id="rId3"/>
  </sheets>
  <definedNames>
    <definedName name="_xlnm._FilterDatabase" localSheetId="0" hidden="1">'tracker'!$A$1:$T$31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4" customWidth="1" min="4" max="4"/>
    <col width="30" customWidth="1" min="5" max="5"/>
    <col width="24" customWidth="1" min="6" max="6"/>
    <col width="12" customWidth="1" min="7" max="7"/>
    <col width="9" customWidth="1" min="8" max="8"/>
    <col width="15" customWidth="1" min="9" max="9"/>
    <col width="40" customWidth="1" min="10" max="10"/>
    <col width="34" customWidth="1" min="11" max="11"/>
    <col width="11" customWidth="1" min="12" max="12"/>
    <col width="36" customWidth="1" min="13" max="13"/>
    <col width="9" customWidth="1" min="14" max="14"/>
    <col width="13" customWidth="1" min="15" max="15"/>
    <col width="9" customWidth="1" min="16" max="16"/>
    <col width="9" customWidth="1" min="17" max="17"/>
    <col width="15" customWidth="1" min="18" max="18"/>
    <col width="10" customWidth="1" min="19" max="19"/>
    <col width="60" customWidth="1" min="20" max="20"/>
  </cols>
  <sheetData>
    <row r="1">
      <c r="A1" s="1" t="inlineStr">
        <is>
          <t>PD id</t>
        </is>
      </c>
      <c r="B1" s="1" t="inlineStr">
        <is>
          <t>Role</t>
        </is>
      </c>
      <c r="C1" s="1" t="inlineStr">
        <is>
          <t>Cohort</t>
        </is>
      </c>
      <c r="D1" s="1" t="inlineStr">
        <is>
          <t>Why tracked</t>
        </is>
      </c>
      <c r="E1" s="1" t="inlineStr">
        <is>
          <t>TP53 on tree</t>
        </is>
      </c>
      <c r="F1" s="1" t="inlineStr">
        <is>
          <t>Run unit (analysed together)</t>
        </is>
      </c>
      <c r="G1" s="1" t="inlineStr">
        <is>
          <t>Assembly</t>
        </is>
      </c>
      <c r="H1" s="1" t="inlineStr">
        <is>
          <t>Colonies</t>
        </is>
      </c>
      <c r="I1" s="1" t="inlineStr">
        <is>
          <t>Farm run</t>
        </is>
      </c>
      <c r="J1" s="1" t="inlineStr">
        <is>
          <t>Farm run dir</t>
        </is>
      </c>
      <c r="K1" s="1" t="inlineStr">
        <is>
          <t>PEAR-TREE commit</t>
        </is>
      </c>
      <c r="L1" s="1" t="inlineStr">
        <is>
          <t>Data local</t>
        </is>
      </c>
      <c r="M1" s="1" t="inlineStr">
        <is>
          <t>Results dir</t>
        </is>
      </c>
      <c r="N1" s="1" t="inlineStr">
        <is>
          <t>Somatic rows</t>
        </is>
      </c>
      <c r="O1" s="1" t="inlineStr">
        <is>
          <t>Tier B / C / D</t>
        </is>
      </c>
      <c r="P1" s="1" t="inlineStr">
        <is>
          <t>Excluded</t>
        </is>
      </c>
      <c r="Q1" s="1" t="inlineStr">
        <is>
          <t>Reviewed</t>
        </is>
      </c>
      <c r="R1" s="1" t="inlineStr">
        <is>
          <t>Review progress</t>
        </is>
      </c>
      <c r="S1" s="1" t="inlineStr">
        <is>
          <t>Review signed off</t>
        </is>
      </c>
      <c r="T1" s="1" t="inlineStr">
        <is>
          <t>Notes</t>
        </is>
      </c>
    </row>
    <row r="2">
      <c r="A2" s="2" t="inlineStr">
        <is>
          <t>PD37580</t>
        </is>
      </c>
      <c r="B2" s="2" t="inlineStr">
        <is>
          <t>PX007</t>
        </is>
      </c>
      <c r="C2" s="2" t="inlineStr">
        <is>
          <t>Mitchell 2025 Nat Genet (chemo)</t>
        </is>
      </c>
      <c r="D2" s="2" t="inlineStr">
        <is>
          <t>TP53 clade</t>
        </is>
      </c>
      <c r="E2" s="3" t="inlineStr">
        <is>
          <t>I195F+C176Y (8 col), Y234C (3), K132R (2), S241C, K120M</t>
        </is>
      </c>
      <c r="F2" s="2" t="inlineStr">
        <is>
          <t>PD37580</t>
        </is>
      </c>
      <c r="G2" s="2" t="inlineStr">
        <is>
          <t>GRCh37</t>
        </is>
      </c>
      <c r="H2" s="2" t="n">
        <v>84</v>
      </c>
      <c r="I2" s="4" t="inlineStr">
        <is>
          <t>done</t>
        </is>
      </c>
      <c r="J2" s="2" t="inlineStr">
        <is>
          <t>/lustre/scratch126/casm/teams/team273/users/jd43/hsc/PD37580/PD37580</t>
        </is>
      </c>
      <c r="K2" s="2" t="inlineStr">
        <is>
          <t>~08dbac3 (inferred, hsc-deploy 2026-10-07); report 700ecf8</t>
        </is>
      </c>
      <c r="L2" s="4" t="inlineStr">
        <is>
          <t>yes</t>
        </is>
      </c>
      <c r="M2" s="2" t="inlineStr">
        <is>
          <t>PD37580</t>
        </is>
      </c>
      <c r="N2" s="2" t="n">
        <v>20</v>
      </c>
      <c r="O2" s="2" t="inlineStr">
        <is>
          <t>1 / 2 / 17</t>
        </is>
      </c>
      <c r="P2" s="2" t="inlineStr"/>
      <c r="Q2" s="2" t="n">
        <v>6</v>
      </c>
      <c r="R2" s="2" t="inlineStr">
        <is>
          <t>30 %</t>
        </is>
      </c>
      <c r="S2" s="5" t="inlineStr">
        <is>
          <t>no</t>
        </is>
      </c>
      <c r="T2" s="3" t="inlineStr">
        <is>
          <t>native GRCh37 run 2026-10-07; old-pipeline results also in ~/Documents/retrotransposons_sanger/results/PD37580</t>
        </is>
      </c>
    </row>
    <row r="3">
      <c r="A3" s="2" t="inlineStr">
        <is>
          <t>PD47703</t>
        </is>
      </c>
      <c r="B3" s="2" t="inlineStr">
        <is>
          <t>PX001</t>
        </is>
      </c>
      <c r="C3" s="2" t="inlineStr">
        <is>
          <t>Mitchell 2025 Nat Genet (chemo)</t>
        </is>
      </c>
      <c r="D3" s="2" t="inlineStr">
        <is>
          <t>TP53 clade</t>
        </is>
      </c>
      <c r="E3" s="3" t="inlineStr">
        <is>
          <t>P128fs, V274A (tree 1); V172F (tree 2)</t>
        </is>
      </c>
      <c r="F3" s="2" t="inlineStr">
        <is>
          <t>PD47703</t>
        </is>
      </c>
      <c r="G3" s="2" t="inlineStr">
        <is>
          <t>GRCh37</t>
        </is>
      </c>
      <c r="H3" s="2" t="n">
        <v>259</v>
      </c>
      <c r="I3" s="5" t="inlineStr">
        <is>
          <t>not run</t>
        </is>
      </c>
      <c r="J3" s="2" t="inlineStr"/>
      <c r="K3" s="2" t="inlineStr"/>
      <c r="L3" s="5" t="inlineStr">
        <is>
          <t>no</t>
        </is>
      </c>
      <c r="M3" s="2" t="inlineStr"/>
      <c r="N3" s="2" t="inlineStr"/>
      <c r="O3" s="2" t="inlineStr"/>
      <c r="P3" s="2" t="inlineStr"/>
      <c r="Q3" s="2" t="inlineStr"/>
      <c r="R3" s="2" t="inlineStr"/>
      <c r="S3" s="5" t="inlineStr">
        <is>
          <t>no</t>
        </is>
      </c>
      <c r="T3" s="3" t="inlineStr">
        <is>
          <t>old-pipeline results only (~/Documents/retrotransposons_sanger/results/PD47703)</t>
        </is>
      </c>
    </row>
    <row r="4">
      <c r="A4" s="2" t="inlineStr">
        <is>
          <t>PD45534</t>
        </is>
      </c>
      <c r="B4" s="2" t="inlineStr">
        <is>
          <t>KX004</t>
        </is>
      </c>
      <c r="C4" s="2" t="inlineStr">
        <is>
          <t>Mitchell 2022 Nature (ageing)</t>
        </is>
      </c>
      <c r="D4" s="2" t="inlineStr">
        <is>
          <t>TP53 clade</t>
        </is>
      </c>
      <c r="E4" s="3" t="inlineStr">
        <is>
          <t>V157I</t>
        </is>
      </c>
      <c r="F4" s="2" t="inlineStr">
        <is>
          <t>PD45534</t>
        </is>
      </c>
      <c r="G4" s="2" t="inlineStr">
        <is>
          <t>GRCh38</t>
        </is>
      </c>
      <c r="H4" s="2" t="n">
        <v>922</v>
      </c>
      <c r="I4" s="5" t="inlineStr">
        <is>
          <t>not run</t>
        </is>
      </c>
      <c r="J4" s="2" t="inlineStr"/>
      <c r="K4" s="2" t="inlineStr"/>
      <c r="L4" s="5" t="inlineStr">
        <is>
          <t>no</t>
        </is>
      </c>
      <c r="M4" s="2" t="inlineStr"/>
      <c r="N4" s="2" t="inlineStr"/>
      <c r="O4" s="2" t="inlineStr"/>
      <c r="P4" s="2" t="inlineStr"/>
      <c r="Q4" s="2" t="inlineStr"/>
      <c r="R4" s="2" t="inlineStr"/>
      <c r="S4" s="5" t="inlineStr">
        <is>
          <t>no</t>
        </is>
      </c>
      <c r="T4" s="3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</t>
        </is>
      </c>
    </row>
    <row r="5">
      <c r="A5" s="2" t="inlineStr">
        <is>
          <t>PD45792</t>
        </is>
      </c>
      <c r="B5" s="2" t="inlineStr">
        <is>
          <t>Pair11 donor</t>
        </is>
      </c>
      <c r="C5" s="2" t="inlineStr">
        <is>
          <t>Spencer Chapman 2024 Nature (allo-HCT)</t>
        </is>
      </c>
      <c r="D5" s="2" t="inlineStr">
        <is>
          <t>TP53 clade; transplant pair</t>
        </is>
      </c>
      <c r="E5" s="3" t="inlineStr">
        <is>
          <t>R273H</t>
        </is>
      </c>
      <c r="F5" s="2" t="inlineStr">
        <is>
          <t>Pair11_PD45792_PD45793</t>
        </is>
      </c>
      <c r="G5" s="2" t="inlineStr">
        <is>
          <t>GRCh37</t>
        </is>
      </c>
      <c r="H5" s="2" t="n">
        <v>179</v>
      </c>
      <c r="I5" s="5" t="inlineStr">
        <is>
          <t>not run</t>
        </is>
      </c>
      <c r="J5" s="2" t="inlineStr"/>
      <c r="K5" s="2" t="inlineStr"/>
      <c r="L5" s="5" t="inlineStr">
        <is>
          <t>no</t>
        </is>
      </c>
      <c r="M5" s="2" t="inlineStr"/>
      <c r="N5" s="2" t="inlineStr"/>
      <c r="O5" s="2" t="inlineStr"/>
      <c r="P5" s="2" t="inlineStr"/>
      <c r="Q5" s="2" t="inlineStr"/>
      <c r="R5" s="2" t="inlineStr"/>
      <c r="S5" s="5" t="inlineStr">
        <is>
          <t>no</t>
        </is>
      </c>
      <c r="T5" s="3" t="inlineStr"/>
    </row>
    <row r="6">
      <c r="A6" s="2" t="inlineStr">
        <is>
          <t>PD45793</t>
        </is>
      </c>
      <c r="B6" s="2" t="inlineStr">
        <is>
          <t>Pair11 recipient</t>
        </is>
      </c>
      <c r="C6" s="2" t="inlineStr">
        <is>
          <t>Spencer Chapman 2024 Nature (allo-HCT)</t>
        </is>
      </c>
      <c r="D6" s="2" t="inlineStr">
        <is>
          <t>transplant pair</t>
        </is>
      </c>
      <c r="E6" s="3" t="inlineStr"/>
      <c r="F6" s="2" t="inlineStr">
        <is>
          <t>Pair11_PD45792_PD45793</t>
        </is>
      </c>
      <c r="G6" s="2" t="inlineStr">
        <is>
          <t>GRCh37</t>
        </is>
      </c>
      <c r="H6" s="2" t="n">
        <v>146</v>
      </c>
      <c r="I6" s="5" t="inlineStr">
        <is>
          <t>not run</t>
        </is>
      </c>
      <c r="J6" s="2" t="inlineStr"/>
      <c r="K6" s="2" t="inlineStr"/>
      <c r="L6" s="5" t="inlineStr">
        <is>
          <t>no</t>
        </is>
      </c>
      <c r="M6" s="2" t="inlineStr"/>
      <c r="N6" s="2" t="inlineStr"/>
      <c r="O6" s="2" t="inlineStr"/>
      <c r="P6" s="2" t="inlineStr"/>
      <c r="Q6" s="2" t="inlineStr"/>
      <c r="R6" s="2" t="inlineStr"/>
      <c r="S6" s="5" t="inlineStr">
        <is>
          <t>no</t>
        </is>
      </c>
      <c r="T6" s="3" t="inlineStr"/>
    </row>
    <row r="7">
      <c r="A7" s="2" t="inlineStr">
        <is>
          <t>PD45794</t>
        </is>
      </c>
      <c r="B7" s="2" t="inlineStr">
        <is>
          <t>Pair13 donor</t>
        </is>
      </c>
      <c r="C7" s="2" t="inlineStr">
        <is>
          <t>Spencer Chapman 2024 Nature (allo-HCT)</t>
        </is>
      </c>
      <c r="D7" s="2" t="inlineStr">
        <is>
          <t>TP53 clade; transplant pair</t>
        </is>
      </c>
      <c r="E7" s="3" t="inlineStr">
        <is>
          <t>R158H</t>
        </is>
      </c>
      <c r="F7" s="2" t="inlineStr">
        <is>
          <t>Pair13_PD45794_PD45795</t>
        </is>
      </c>
      <c r="G7" s="2" t="inlineStr">
        <is>
          <t>GRCh37</t>
        </is>
      </c>
      <c r="H7" s="2" t="n">
        <v>104</v>
      </c>
      <c r="I7" s="5" t="inlineStr">
        <is>
          <t>not run</t>
        </is>
      </c>
      <c r="J7" s="2" t="inlineStr"/>
      <c r="K7" s="2" t="inlineStr"/>
      <c r="L7" s="5" t="inlineStr">
        <is>
          <t>no</t>
        </is>
      </c>
      <c r="M7" s="2" t="inlineStr"/>
      <c r="N7" s="2" t="inlineStr"/>
      <c r="O7" s="2" t="inlineStr"/>
      <c r="P7" s="2" t="inlineStr"/>
      <c r="Q7" s="2" t="inlineStr"/>
      <c r="R7" s="2" t="inlineStr"/>
      <c r="S7" s="5" t="inlineStr">
        <is>
          <t>no</t>
        </is>
      </c>
      <c r="T7" s="3" t="inlineStr"/>
    </row>
    <row r="8">
      <c r="A8" s="2" t="inlineStr">
        <is>
          <t>PD45795</t>
        </is>
      </c>
      <c r="B8" s="2" t="inlineStr">
        <is>
          <t>Pair13 recipient</t>
        </is>
      </c>
      <c r="C8" s="2" t="inlineStr">
        <is>
          <t>Spencer Chapman 2024 Nature (allo-HCT)</t>
        </is>
      </c>
      <c r="D8" s="2" t="inlineStr">
        <is>
          <t>transplant pair</t>
        </is>
      </c>
      <c r="E8" s="3" t="inlineStr"/>
      <c r="F8" s="2" t="inlineStr">
        <is>
          <t>Pair13_PD45794_PD45795</t>
        </is>
      </c>
      <c r="G8" s="2" t="inlineStr">
        <is>
          <t>GRCh37</t>
        </is>
      </c>
      <c r="H8" s="2" t="n">
        <v>194</v>
      </c>
      <c r="I8" s="5" t="inlineStr">
        <is>
          <t>not run</t>
        </is>
      </c>
      <c r="J8" s="2" t="inlineStr"/>
      <c r="K8" s="2" t="inlineStr"/>
      <c r="L8" s="5" t="inlineStr">
        <is>
          <t>no</t>
        </is>
      </c>
      <c r="M8" s="2" t="inlineStr"/>
      <c r="N8" s="2" t="inlineStr"/>
      <c r="O8" s="2" t="inlineStr"/>
      <c r="P8" s="2" t="inlineStr"/>
      <c r="Q8" s="2" t="inlineStr"/>
      <c r="R8" s="2" t="inlineStr"/>
      <c r="S8" s="5" t="inlineStr">
        <is>
          <t>no</t>
        </is>
      </c>
      <c r="T8" s="3" t="inlineStr"/>
    </row>
    <row r="9">
      <c r="A9" s="2" t="inlineStr">
        <is>
          <t>PD45808</t>
        </is>
      </c>
      <c r="B9" s="2" t="inlineStr">
        <is>
          <t>Pair38 donor</t>
        </is>
      </c>
      <c r="C9" s="2" t="inlineStr">
        <is>
          <t>Spencer Chapman 2024 Nature (allo-HCT)</t>
        </is>
      </c>
      <c r="D9" s="2" t="inlineStr">
        <is>
          <t>transplant pair</t>
        </is>
      </c>
      <c r="E9" s="3" t="inlineStr"/>
      <c r="F9" s="2" t="inlineStr">
        <is>
          <t>Pair38_PD45808_PD45809</t>
        </is>
      </c>
      <c r="G9" s="2" t="inlineStr">
        <is>
          <t>GRCh37</t>
        </is>
      </c>
      <c r="H9" s="2" t="n">
        <v>143</v>
      </c>
      <c r="I9" s="5" t="inlineStr">
        <is>
          <t>not run</t>
        </is>
      </c>
      <c r="J9" s="2" t="inlineStr"/>
      <c r="K9" s="2" t="inlineStr"/>
      <c r="L9" s="5" t="inlineStr">
        <is>
          <t>no</t>
        </is>
      </c>
      <c r="M9" s="2" t="inlineStr"/>
      <c r="N9" s="2" t="inlineStr"/>
      <c r="O9" s="2" t="inlineStr"/>
      <c r="P9" s="2" t="inlineStr"/>
      <c r="Q9" s="2" t="inlineStr"/>
      <c r="R9" s="2" t="inlineStr"/>
      <c r="S9" s="5" t="inlineStr">
        <is>
          <t>no</t>
        </is>
      </c>
      <c r="T9" s="3" t="inlineStr"/>
    </row>
    <row r="10">
      <c r="A10" s="2" t="inlineStr">
        <is>
          <t>PD45809</t>
        </is>
      </c>
      <c r="B10" s="2" t="inlineStr">
        <is>
          <t>Pair38 recipient</t>
        </is>
      </c>
      <c r="C10" s="2" t="inlineStr">
        <is>
          <t>Spencer Chapman 2024 Nature (allo-HCT)</t>
        </is>
      </c>
      <c r="D10" s="2" t="inlineStr">
        <is>
          <t>TP53 clade; transplant pair</t>
        </is>
      </c>
      <c r="E10" s="3" t="inlineStr">
        <is>
          <t>V272M (2 tips = duplicate pair, one clone)</t>
        </is>
      </c>
      <c r="F10" s="2" t="inlineStr">
        <is>
          <t>Pair38_PD45808_PD45809</t>
        </is>
      </c>
      <c r="G10" s="2" t="inlineStr">
        <is>
          <t>GRCh37</t>
        </is>
      </c>
      <c r="H10" s="2" t="n">
        <v>109</v>
      </c>
      <c r="I10" s="5" t="inlineStr">
        <is>
          <t>not run</t>
        </is>
      </c>
      <c r="J10" s="2" t="inlineStr"/>
      <c r="K10" s="2" t="inlineStr"/>
      <c r="L10" s="5" t="inlineStr">
        <is>
          <t>no</t>
        </is>
      </c>
      <c r="M10" s="2" t="inlineStr"/>
      <c r="N10" s="2" t="inlineStr"/>
      <c r="O10" s="2" t="inlineStr"/>
      <c r="P10" s="2" t="inlineStr"/>
      <c r="Q10" s="2" t="inlineStr"/>
      <c r="R10" s="2" t="inlineStr"/>
      <c r="S10" s="5" t="inlineStr">
        <is>
          <t>no</t>
        </is>
      </c>
      <c r="T10" s="3" t="inlineStr"/>
    </row>
    <row r="11">
      <c r="A11" s="2" t="inlineStr">
        <is>
          <t>PD45810</t>
        </is>
      </c>
      <c r="B11" s="2" t="inlineStr">
        <is>
          <t>Pair40 donor</t>
        </is>
      </c>
      <c r="C11" s="2" t="inlineStr">
        <is>
          <t>Spencer Chapman 2024 Nature (allo-HCT)</t>
        </is>
      </c>
      <c r="D11" s="2" t="inlineStr">
        <is>
          <t>transplant pair</t>
        </is>
      </c>
      <c r="E11" s="3" t="inlineStr"/>
      <c r="F11" s="2" t="inlineStr">
        <is>
          <t>Pair40_PD45810_PD45811</t>
        </is>
      </c>
      <c r="G11" s="2" t="inlineStr">
        <is>
          <t>GRCh37</t>
        </is>
      </c>
      <c r="H11" s="2" t="n">
        <v>143</v>
      </c>
      <c r="I11" s="5" t="inlineStr">
        <is>
          <t>not run</t>
        </is>
      </c>
      <c r="J11" s="2" t="inlineStr"/>
      <c r="K11" s="2" t="inlineStr"/>
      <c r="L11" s="5" t="inlineStr">
        <is>
          <t>no</t>
        </is>
      </c>
      <c r="M11" s="2" t="inlineStr"/>
      <c r="N11" s="2" t="inlineStr"/>
      <c r="O11" s="2" t="inlineStr"/>
      <c r="P11" s="2" t="inlineStr"/>
      <c r="Q11" s="2" t="inlineStr"/>
      <c r="R11" s="2" t="inlineStr"/>
      <c r="S11" s="5" t="inlineStr">
        <is>
          <t>no</t>
        </is>
      </c>
      <c r="T11" s="3" t="inlineStr"/>
    </row>
    <row r="12">
      <c r="A12" s="2" t="inlineStr">
        <is>
          <t>PD45811</t>
        </is>
      </c>
      <c r="B12" s="2" t="inlineStr">
        <is>
          <t>Pair40 recipient</t>
        </is>
      </c>
      <c r="C12" s="2" t="inlineStr">
        <is>
          <t>Spencer Chapman 2024 Nature (allo-HCT)</t>
        </is>
      </c>
      <c r="D12" s="2" t="inlineStr">
        <is>
          <t>TP53 clade; transplant pair</t>
        </is>
      </c>
      <c r="E12" s="3" t="inlineStr">
        <is>
          <t>N239D</t>
        </is>
      </c>
      <c r="F12" s="2" t="inlineStr">
        <is>
          <t>Pair40_PD45810_PD45811</t>
        </is>
      </c>
      <c r="G12" s="2" t="inlineStr">
        <is>
          <t>GRCh37</t>
        </is>
      </c>
      <c r="H12" s="2" t="n">
        <v>136</v>
      </c>
      <c r="I12" s="5" t="inlineStr">
        <is>
          <t>not run</t>
        </is>
      </c>
      <c r="J12" s="2" t="inlineStr"/>
      <c r="K12" s="2" t="inlineStr"/>
      <c r="L12" s="5" t="inlineStr">
        <is>
          <t>no</t>
        </is>
      </c>
      <c r="M12" s="2" t="inlineStr"/>
      <c r="N12" s="2" t="inlineStr"/>
      <c r="O12" s="2" t="inlineStr"/>
      <c r="P12" s="2" t="inlineStr"/>
      <c r="Q12" s="2" t="inlineStr"/>
      <c r="R12" s="2" t="inlineStr"/>
      <c r="S12" s="5" t="inlineStr">
        <is>
          <t>no</t>
        </is>
      </c>
      <c r="T12" s="3" t="inlineStr"/>
    </row>
    <row r="13">
      <c r="A13" s="2" t="inlineStr">
        <is>
          <t>PD49229</t>
        </is>
      </c>
      <c r="B13" s="2" t="inlineStr">
        <is>
          <t>BCL002 (SCD4)</t>
        </is>
      </c>
      <c r="C13" s="2" t="inlineStr">
        <is>
          <t>Spencer Chapman 2023 Nat Med (SCD gene therapy)</t>
        </is>
      </c>
      <c r="D13" s="2" t="inlineStr">
        <is>
          <t>TP53 clade</t>
        </is>
      </c>
      <c r="E13" s="3" t="inlineStr">
        <is>
          <t>R273H</t>
        </is>
      </c>
      <c r="F13" s="2" t="inlineStr">
        <is>
          <t>PD49229</t>
        </is>
      </c>
      <c r="G13" s="2" t="inlineStr">
        <is>
          <t>GRCh37</t>
        </is>
      </c>
      <c r="H13" s="2" t="n">
        <v>722</v>
      </c>
      <c r="I13" s="6" t="inlineStr">
        <is>
          <t>report incomplete</t>
        </is>
      </c>
      <c r="J13" s="2" t="inlineStr">
        <is>
          <t>/lustre/scratch126/casm/teams/team273/users/jd43/hsc/PD49229/PD49229</t>
        </is>
      </c>
      <c r="K13" s="2" t="inlineStr">
        <is>
          <t>~7d9e241 (inferred, hsc-deploy 2026-10-07); annotate rerun on 59b75b6 (Rust RTE)</t>
        </is>
      </c>
      <c r="L13" s="4" t="inlineStr">
        <is>
          <t>yes</t>
        </is>
      </c>
      <c r="M13" s="2" t="inlineStr">
        <is>
          <t>PD49229</t>
        </is>
      </c>
      <c r="N13" s="2" t="n">
        <v>237</v>
      </c>
      <c r="O13" s="2" t="inlineStr">
        <is>
          <t>16 / 188 / 33</t>
        </is>
      </c>
      <c r="P13" s="2" t="n">
        <v>62</v>
      </c>
      <c r="Q13" s="2" t="n">
        <v>220</v>
      </c>
      <c r="R13" s="2" t="inlineStr">
        <is>
          <t>92 %</t>
        </is>
      </c>
      <c r="S13" s="5" t="inlineStr">
        <is>
          <t>no</t>
        </is>
      </c>
      <c r="T13" s="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14">
      <c r="A14" s="2" t="inlineStr">
        <is>
          <t>PD43975</t>
        </is>
      </c>
      <c r="B14" s="2" t="inlineStr">
        <is>
          <t>SDS2</t>
        </is>
      </c>
      <c r="C14" s="2" t="inlineStr">
        <is>
          <t>Machado 2023 Nat Commun (Shwachman-Diamond)</t>
        </is>
      </c>
      <c r="D14" s="2" t="inlineStr">
        <is>
          <t>TP53 clade</t>
        </is>
      </c>
      <c r="E14" s="3" t="inlineStr">
        <is>
          <t>C141Y</t>
        </is>
      </c>
      <c r="F14" s="2" t="inlineStr">
        <is>
          <t>PD43975</t>
        </is>
      </c>
      <c r="G14" s="2" t="inlineStr">
        <is>
          <t>GRCh37</t>
        </is>
      </c>
      <c r="H14" s="2" t="n">
        <v>38</v>
      </c>
      <c r="I14" s="5" t="inlineStr">
        <is>
          <t>not run</t>
        </is>
      </c>
      <c r="J14" s="2" t="inlineStr"/>
      <c r="K14" s="2" t="inlineStr"/>
      <c r="L14" s="5" t="inlineStr">
        <is>
          <t>no</t>
        </is>
      </c>
      <c r="M14" s="2" t="inlineStr"/>
      <c r="N14" s="2" t="inlineStr"/>
      <c r="O14" s="2" t="inlineStr"/>
      <c r="P14" s="2" t="inlineStr"/>
      <c r="Q14" s="2" t="inlineStr"/>
      <c r="R14" s="2" t="inlineStr"/>
      <c r="S14" s="5" t="inlineStr">
        <is>
          <t>no</t>
        </is>
      </c>
      <c r="T14" s="3" t="inlineStr">
        <is>
          <t>tree added 2026-10-10 (zeros outgroup dropped); colonies.tsv populated 2026-10-10 (iRODS, all tips)</t>
        </is>
      </c>
    </row>
    <row r="15">
      <c r="A15" s="2" t="inlineStr">
        <is>
          <t>PD43293</t>
        </is>
      </c>
      <c r="B15" s="2" t="inlineStr">
        <is>
          <t>SDS4</t>
        </is>
      </c>
      <c r="C15" s="2" t="inlineStr">
        <is>
          <t>Machado 2023 Nat Commun (Shwachman-Diamond)</t>
        </is>
      </c>
      <c r="D15" s="2" t="inlineStr">
        <is>
          <t>TP53 clade</t>
        </is>
      </c>
      <c r="E15" s="3" t="inlineStr">
        <is>
          <t>R273L</t>
        </is>
      </c>
      <c r="F15" s="2" t="inlineStr">
        <is>
          <t>PD43293</t>
        </is>
      </c>
      <c r="G15" s="2" t="inlineStr">
        <is>
          <t>GRCh37</t>
        </is>
      </c>
      <c r="H15" s="2" t="n">
        <v>18</v>
      </c>
      <c r="I15" s="5" t="inlineStr">
        <is>
          <t>not run</t>
        </is>
      </c>
      <c r="J15" s="2" t="inlineStr"/>
      <c r="K15" s="2" t="inlineStr"/>
      <c r="L15" s="5" t="inlineStr">
        <is>
          <t>no</t>
        </is>
      </c>
      <c r="M15" s="2" t="inlineStr"/>
      <c r="N15" s="2" t="inlineStr"/>
      <c r="O15" s="2" t="inlineStr"/>
      <c r="P15" s="2" t="inlineStr"/>
      <c r="Q15" s="2" t="inlineStr"/>
      <c r="R15" s="2" t="inlineStr"/>
      <c r="S15" s="5" t="inlineStr">
        <is>
          <t>no</t>
        </is>
      </c>
      <c r="T15" s="3" t="inlineStr">
        <is>
          <t>tree added 2026-10-10 (zeros outgroup dropped); colonies.tsv populated 2026-10-10 (iRODS, all tips)</t>
        </is>
      </c>
    </row>
    <row r="16">
      <c r="A16" s="2" t="inlineStr">
        <is>
          <t>PD42190</t>
        </is>
      </c>
      <c r="B16" s="2" t="inlineStr">
        <is>
          <t>SDS5 (timepoint 1)</t>
        </is>
      </c>
      <c r="C16" s="2" t="inlineStr">
        <is>
          <t>Machado 2023 Nat Commun (Shwachman-Diamond)</t>
        </is>
      </c>
      <c r="D16" s="2" t="inlineStr">
        <is>
          <t>TP53 clade</t>
        </is>
      </c>
      <c r="E16" s="3" t="inlineStr">
        <is>
          <t>R248W (3), A159V (2), P151S (2) + 5 single</t>
        </is>
      </c>
      <c r="F16" s="2" t="inlineStr">
        <is>
          <t>SDS5_PD42190_PD45888</t>
        </is>
      </c>
      <c r="G16" s="2" t="inlineStr">
        <is>
          <t>GRCh37</t>
        </is>
      </c>
      <c r="H16" s="2" t="n">
        <v>48</v>
      </c>
      <c r="I16" s="5" t="inlineStr">
        <is>
          <t>not run</t>
        </is>
      </c>
      <c r="J16" s="2" t="inlineStr"/>
      <c r="K16" s="2" t="inlineStr"/>
      <c r="L16" s="5" t="inlineStr">
        <is>
          <t>no</t>
        </is>
      </c>
      <c r="M16" s="2" t="inlineStr"/>
      <c r="N16" s="2" t="inlineStr"/>
      <c r="O16" s="2" t="inlineStr"/>
      <c r="P16" s="2" t="inlineStr"/>
      <c r="Q16" s="2" t="inlineStr"/>
      <c r="R16" s="2" t="inlineStr"/>
      <c r="S16" s="5" t="inlineStr">
        <is>
          <t>no</t>
        </is>
      </c>
      <c r="T16" s="3" t="inlineStr">
        <is>
          <t>one tree with PD45888; colonies.tsv populated 2026-10-10 (100/100)</t>
        </is>
      </c>
    </row>
    <row r="17">
      <c r="A17" s="2" t="inlineStr">
        <is>
          <t>PD45888</t>
        </is>
      </c>
      <c r="B17" s="2" t="inlineStr">
        <is>
          <t>SDS5 (timepoint 2)</t>
        </is>
      </c>
      <c r="C17" s="2" t="inlineStr">
        <is>
          <t>Machado 2023 Nat Commun (Shwachman-Diamond)</t>
        </is>
      </c>
      <c r="D17" s="2" t="inlineStr">
        <is>
          <t>TP53 clade</t>
        </is>
      </c>
      <c r="E17" s="3" t="inlineStr">
        <is>
          <t>(shared SDS5 tree)</t>
        </is>
      </c>
      <c r="F17" s="2" t="inlineStr">
        <is>
          <t>SDS5_PD42190_PD45888</t>
        </is>
      </c>
      <c r="G17" s="2" t="inlineStr">
        <is>
          <t>GRCh37</t>
        </is>
      </c>
      <c r="H17" s="2" t="n">
        <v>52</v>
      </c>
      <c r="I17" s="5" t="inlineStr">
        <is>
          <t>not run</t>
        </is>
      </c>
      <c r="J17" s="2" t="inlineStr"/>
      <c r="K17" s="2" t="inlineStr"/>
      <c r="L17" s="5" t="inlineStr">
        <is>
          <t>no</t>
        </is>
      </c>
      <c r="M17" s="2" t="inlineStr"/>
      <c r="N17" s="2" t="inlineStr"/>
      <c r="O17" s="2" t="inlineStr"/>
      <c r="P17" s="2" t="inlineStr"/>
      <c r="Q17" s="2" t="inlineStr"/>
      <c r="R17" s="2" t="inlineStr"/>
      <c r="S17" s="5" t="inlineStr">
        <is>
          <t>no</t>
        </is>
      </c>
      <c r="T17" s="3" t="inlineStr">
        <is>
          <t>one tree with PD42190; colonies.tsv populated 2026-10-10 (100/100)</t>
        </is>
      </c>
    </row>
    <row r="18">
      <c r="A18" s="2" t="inlineStr">
        <is>
          <t>PD45887</t>
        </is>
      </c>
      <c r="B18" s="2" t="inlineStr">
        <is>
          <t>SDS6</t>
        </is>
      </c>
      <c r="C18" s="2" t="inlineStr">
        <is>
          <t>Machado 2023 Nat Commun (Shwachman-Diamond)</t>
        </is>
      </c>
      <c r="D18" s="2" t="inlineStr">
        <is>
          <t>TP53 clade</t>
        </is>
      </c>
      <c r="E18" s="3" t="inlineStr">
        <is>
          <t>E258K, G245S, I195F, R175H, V157F</t>
        </is>
      </c>
      <c r="F18" s="2" t="inlineStr">
        <is>
          <t>PD45887</t>
        </is>
      </c>
      <c r="G18" s="2" t="inlineStr">
        <is>
          <t>GRCh37</t>
        </is>
      </c>
      <c r="H18" s="2" t="n">
        <v>27</v>
      </c>
      <c r="I18" s="5" t="inlineStr">
        <is>
          <t>not run</t>
        </is>
      </c>
      <c r="J18" s="2" t="inlineStr"/>
      <c r="K18" s="2" t="inlineStr"/>
      <c r="L18" s="5" t="inlineStr">
        <is>
          <t>no</t>
        </is>
      </c>
      <c r="M18" s="2" t="inlineStr"/>
      <c r="N18" s="2" t="inlineStr"/>
      <c r="O18" s="2" t="inlineStr"/>
      <c r="P18" s="2" t="inlineStr"/>
      <c r="Q18" s="2" t="inlineStr"/>
      <c r="R18" s="2" t="inlineStr"/>
      <c r="S18" s="5" t="inlineStr">
        <is>
          <t>no</t>
        </is>
      </c>
      <c r="T18" s="3" t="inlineStr">
        <is>
          <t>tree added 2026-10-10 (zeros outgroup dropped); colonies.tsv populated 2026-10-10 (iRODS, all tips)</t>
        </is>
      </c>
    </row>
    <row r="19">
      <c r="A19" s="2" t="inlineStr">
        <is>
          <t>PD44706</t>
        </is>
      </c>
      <c r="B19" s="2" t="inlineStr">
        <is>
          <t>SDS7</t>
        </is>
      </c>
      <c r="C19" s="2" t="inlineStr">
        <is>
          <t>Machado 2023 Nat Commun (Shwachman-Diamond)</t>
        </is>
      </c>
      <c r="D19" s="2" t="inlineStr">
        <is>
          <t>TP53 clade</t>
        </is>
      </c>
      <c r="E19" s="3" t="inlineStr">
        <is>
          <t>C275Y, V272M, G245S, Y205F, H179Q, V173M</t>
        </is>
      </c>
      <c r="F19" s="2" t="inlineStr">
        <is>
          <t>PD44706</t>
        </is>
      </c>
      <c r="G19" s="2" t="inlineStr">
        <is>
          <t>GRCh37</t>
        </is>
      </c>
      <c r="H19" s="2" t="n">
        <v>35</v>
      </c>
      <c r="I19" s="4" t="inlineStr">
        <is>
          <t>done</t>
        </is>
      </c>
      <c r="J19" s="2" t="inlineStr">
        <is>
          <t>/lustre/scratch126/casm/teams/team273/users/jd43/hsc_foldback2/PD44706/PD44706</t>
        </is>
      </c>
      <c r="K19" s="2" t="inlineStr">
        <is>
          <t>1fcdc92 (annotate SV lift + PROVIRUS_LTR, somatic_table beta-binomial het gate)</t>
        </is>
      </c>
      <c r="L19" s="4" t="inlineStr">
        <is>
          <t>yes</t>
        </is>
      </c>
      <c r="M19" s="2" t="inlineStr">
        <is>
          <t>PD44706</t>
        </is>
      </c>
      <c r="N19" s="2" t="n">
        <v>60</v>
      </c>
      <c r="O19" s="2" t="inlineStr">
        <is>
          <t>4 / 3 / 53</t>
        </is>
      </c>
      <c r="P19" s="2" t="n">
        <v>30</v>
      </c>
      <c r="Q19" s="2" t="n">
        <v>0</v>
      </c>
      <c r="R19" s="5" t="inlineStr">
        <is>
          <t>not started</t>
        </is>
      </c>
      <c r="S19" s="5" t="inlineStr">
        <is>
          <t>no</t>
        </is>
      </c>
      <c r="T19" s="3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20">
      <c r="A20" s="2" t="inlineStr">
        <is>
          <t>PD42191</t>
        </is>
      </c>
      <c r="B20" s="2" t="inlineStr">
        <is>
          <t>SDS8</t>
        </is>
      </c>
      <c r="C20" s="2" t="inlineStr">
        <is>
          <t>Machado 2023 Nat Commun (Shwachman-Diamond)</t>
        </is>
      </c>
      <c r="D20" s="2" t="inlineStr">
        <is>
          <t>TP53 clade</t>
        </is>
      </c>
      <c r="E20" s="3" t="inlineStr">
        <is>
          <t>I254F+R248Q biallelic trunk (all 10 col)</t>
        </is>
      </c>
      <c r="F20" s="2" t="inlineStr">
        <is>
          <t>PD42191</t>
        </is>
      </c>
      <c r="G20" s="2" t="inlineStr">
        <is>
          <t>GRCh37</t>
        </is>
      </c>
      <c r="H20" s="2" t="n">
        <v>10</v>
      </c>
      <c r="I20" s="5" t="inlineStr">
        <is>
          <t>not run</t>
        </is>
      </c>
      <c r="J20" s="2" t="inlineStr"/>
      <c r="K20" s="2" t="inlineStr"/>
      <c r="L20" s="5" t="inlineStr">
        <is>
          <t>no</t>
        </is>
      </c>
      <c r="M20" s="2" t="inlineStr"/>
      <c r="N20" s="2" t="inlineStr"/>
      <c r="O20" s="2" t="inlineStr"/>
      <c r="P20" s="2" t="inlineStr"/>
      <c r="Q20" s="2" t="inlineStr"/>
      <c r="R20" s="2" t="inlineStr"/>
      <c r="S20" s="5" t="inlineStr">
        <is>
          <t>no</t>
        </is>
      </c>
      <c r="T20" s="3" t="inlineStr">
        <is>
          <t>tree added 2026-10-10 (zeros outgroup dropped); colonies.tsv populated 2026-10-10 (iRODS, all tips)</t>
        </is>
      </c>
    </row>
    <row r="21">
      <c r="A21" s="2" t="inlineStr">
        <is>
          <t>PD45886</t>
        </is>
      </c>
      <c r="B21" s="2" t="inlineStr">
        <is>
          <t>SDS10</t>
        </is>
      </c>
      <c r="C21" s="2" t="inlineStr">
        <is>
          <t>Machado 2023 Nat Commun (Shwachman-Diamond)</t>
        </is>
      </c>
      <c r="D21" s="2" t="inlineStr">
        <is>
          <t>TP53 clade</t>
        </is>
      </c>
      <c r="E21" s="3" t="inlineStr">
        <is>
          <t>H179Q (3)</t>
        </is>
      </c>
      <c r="F21" s="2" t="inlineStr">
        <is>
          <t>PD45886</t>
        </is>
      </c>
      <c r="G21" s="2" t="inlineStr">
        <is>
          <t>GRCh37</t>
        </is>
      </c>
      <c r="H21" s="2" t="n">
        <v>27</v>
      </c>
      <c r="I21" s="4" t="inlineStr">
        <is>
          <t>done</t>
        </is>
      </c>
      <c r="J21" s="2" t="inlineStr">
        <is>
          <t>/lustre/scratch126/casm/teams/team273/users/jd43/hsc_foldback2/PD45886/PD45886</t>
        </is>
      </c>
      <c r="K21" s="2" t="inlineStr">
        <is>
          <t>59f51a9 (combine fold-back strand fix; discovery reused from hsc_foldback ~5ed4f32); first run ~59b75b6</t>
        </is>
      </c>
      <c r="L21" s="4" t="inlineStr">
        <is>
          <t>yes</t>
        </is>
      </c>
      <c r="M21" s="2" t="inlineStr">
        <is>
          <t>PD45886_foldback2/PD45886</t>
        </is>
      </c>
      <c r="N21" s="2" t="n">
        <v>73</v>
      </c>
      <c r="O21" s="2" t="inlineStr">
        <is>
          <t>7 / 10 / 56</t>
        </is>
      </c>
      <c r="P21" s="2" t="n">
        <v>43</v>
      </c>
      <c r="Q21" s="2" t="n">
        <v>37</v>
      </c>
      <c r="R21" s="2" t="inlineStr">
        <is>
          <t>50 %</t>
        </is>
      </c>
      <c r="S21" s="5" t="inlineStr">
        <is>
          <t>no</t>
        </is>
      </c>
      <c r="T21" s="3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22">
      <c r="A22" s="2" t="inlineStr">
        <is>
          <t>PD54832</t>
        </is>
      </c>
      <c r="B22" s="2" t="inlineStr"/>
      <c r="C22" s="2" t="inlineStr">
        <is>
          <t>Leongamornlert 2026 Cancer Discov (TN-ET)</t>
        </is>
      </c>
      <c r="D22" s="2" t="inlineStr">
        <is>
          <t>TP53 clade</t>
        </is>
      </c>
      <c r="E22" s="3" t="inlineStr">
        <is>
          <t>S215N</t>
        </is>
      </c>
      <c r="F22" s="2" t="inlineStr">
        <is>
          <t>PD54832</t>
        </is>
      </c>
      <c r="G22" s="2" t="inlineStr">
        <is>
          <t>GRCh37</t>
        </is>
      </c>
      <c r="H22" s="2" t="n">
        <v>49</v>
      </c>
      <c r="I22" s="5" t="inlineStr">
        <is>
          <t>not run</t>
        </is>
      </c>
      <c r="J22" s="2" t="inlineStr"/>
      <c r="K22" s="2" t="inlineStr"/>
      <c r="L22" s="5" t="inlineStr">
        <is>
          <t>no</t>
        </is>
      </c>
      <c r="M22" s="2" t="inlineStr"/>
      <c r="N22" s="2" t="inlineStr"/>
      <c r="O22" s="2" t="inlineStr"/>
      <c r="P22" s="2" t="inlineStr"/>
      <c r="Q22" s="2" t="inlineStr"/>
      <c r="R22" s="2" t="inlineStr"/>
      <c r="S22" s="5" t="inlineStr">
        <is>
          <t>no</t>
        </is>
      </c>
      <c r="T22" s="3" t="inlineStr">
        <is>
          <t>tree added 2026-10-10 (zeros outgroup dropped); colonies.tsv populated 2026-10-10 (iRODS, all tips); tips renamed lo00NN -&gt; PD54832b_lo00NN; tissue folder (peripheral_blood) not verified</t>
        </is>
      </c>
    </row>
    <row r="23">
      <c r="A23" s="2" t="inlineStr">
        <is>
          <t>PD51635</t>
        </is>
      </c>
      <c r="B23" s="2" t="inlineStr"/>
      <c r="C23" s="2" t="inlineStr">
        <is>
          <t>Kamizela 2025 Nature (CML)</t>
        </is>
      </c>
      <c r="D23" s="2" t="inlineStr">
        <is>
          <t>TP53 clade; BCR::ABL1</t>
        </is>
      </c>
      <c r="E23" s="3" t="inlineStr">
        <is>
          <t>L130F (BCR::ABL1-negative colony)</t>
        </is>
      </c>
      <c r="F23" s="2" t="inlineStr">
        <is>
          <t>PD51635</t>
        </is>
      </c>
      <c r="G23" s="2" t="inlineStr">
        <is>
          <t>GRCh38</t>
        </is>
      </c>
      <c r="H23" s="2" t="n">
        <v>117</v>
      </c>
      <c r="I23" s="4" t="inlineStr">
        <is>
          <t>done</t>
        </is>
      </c>
      <c r="J23" s="2" t="inlineStr">
        <is>
          <t>/lustre/scratch126/casm/teams/team273/users/jd43/hsc/PD51635/PD51635</t>
        </is>
      </c>
      <c r="K23" s="2" t="inlineStr">
        <is>
          <t>~42d6e74 (inferred, hsc-deploy 2026-10-06); report 700ecf8</t>
        </is>
      </c>
      <c r="L23" s="4" t="inlineStr">
        <is>
          <t>yes</t>
        </is>
      </c>
      <c r="M23" s="2" t="inlineStr">
        <is>
          <t>PD51635</t>
        </is>
      </c>
      <c r="N23" s="2" t="n">
        <v>102</v>
      </c>
      <c r="O23" s="2" t="inlineStr">
        <is>
          <t>10 / 15 / 77</t>
        </is>
      </c>
      <c r="P23" s="2" t="inlineStr"/>
      <c r="Q23" s="2" t="n">
        <v>30</v>
      </c>
      <c r="R23" s="2" t="inlineStr">
        <is>
          <t>29 %</t>
        </is>
      </c>
      <c r="S23" s="5" t="inlineStr">
        <is>
          <t>no</t>
        </is>
      </c>
      <c r="T23" s="3" t="inlineStr">
        <is>
          <t>first HSC patient; review export in ~/Documents/hsc_results/PD51635/review_export</t>
        </is>
      </c>
    </row>
    <row r="24">
      <c r="A24" s="2" t="inlineStr">
        <is>
          <t>PD51632</t>
        </is>
      </c>
      <c r="B24" s="2" t="inlineStr"/>
      <c r="C24" s="2" t="inlineStr">
        <is>
          <t>Kamizela 2025 Nature (CML)</t>
        </is>
      </c>
      <c r="D24" s="2" t="inlineStr">
        <is>
          <t>BCR::ABL1</t>
        </is>
      </c>
      <c r="E24" s="3" t="inlineStr"/>
      <c r="F24" s="2" t="inlineStr">
        <is>
          <t>PD51632</t>
        </is>
      </c>
      <c r="G24" s="2" t="inlineStr">
        <is>
          <t>GRCh38</t>
        </is>
      </c>
      <c r="H24" s="2" t="n">
        <v>83</v>
      </c>
      <c r="I24" s="4" t="inlineStr">
        <is>
          <t>done</t>
        </is>
      </c>
      <c r="J24" s="2" t="inlineStr">
        <is>
          <t>/lustre/scratch126/casm/teams/team273/users/jd43/hsc_foldback2/PD51632/PD51632</t>
        </is>
      </c>
      <c r="K24" s="2" t="inlineStr">
        <is>
          <t>1fcdc92 (annotate SV lift + PROVIRUS_LTR, somatic_table beta-binomial het gate)</t>
        </is>
      </c>
      <c r="L24" s="4" t="inlineStr">
        <is>
          <t>yes</t>
        </is>
      </c>
      <c r="M24" s="2" t="inlineStr">
        <is>
          <t>PD51632</t>
        </is>
      </c>
      <c r="N24" s="2" t="n">
        <v>30</v>
      </c>
      <c r="O24" s="2" t="inlineStr">
        <is>
          <t>2 / 1 / 27</t>
        </is>
      </c>
      <c r="P24" s="2" t="n">
        <v>5</v>
      </c>
      <c r="Q24" s="2" t="n">
        <v>3</v>
      </c>
      <c r="R24" s="2" t="inlineStr">
        <is>
          <t>10 %</t>
        </is>
      </c>
      <c r="S24" s="5" t="inlineStr">
        <is>
          <t>no</t>
        </is>
      </c>
      <c r="T24" s="3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25">
      <c r="A25" s="2" t="inlineStr">
        <is>
          <t>PD51633</t>
        </is>
      </c>
      <c r="B25" s="2" t="inlineStr"/>
      <c r="C25" s="2" t="inlineStr">
        <is>
          <t>Kamizela 2025 Nature (CML)</t>
        </is>
      </c>
      <c r="D25" s="2" t="inlineStr">
        <is>
          <t>BCR::ABL1</t>
        </is>
      </c>
      <c r="E25" s="3" t="inlineStr"/>
      <c r="F25" s="2" t="inlineStr">
        <is>
          <t>PD51633</t>
        </is>
      </c>
      <c r="G25" s="2" t="inlineStr">
        <is>
          <t>GRCh38</t>
        </is>
      </c>
      <c r="H25" s="2" t="n">
        <v>81</v>
      </c>
      <c r="I25" s="4" t="inlineStr">
        <is>
          <t>done</t>
        </is>
      </c>
      <c r="J25" s="2" t="inlineStr">
        <is>
          <t>/lustre/scratch126/casm/teams/team273/users/jd43/hsc_foldback2/PD51633/PD51633</t>
        </is>
      </c>
      <c r="K25" s="2" t="inlineStr">
        <is>
          <t>1fcdc92 (annotate SV lift + PROVIRUS_LTR, somatic_table beta-binomial het gate)</t>
        </is>
      </c>
      <c r="L25" s="4" t="inlineStr">
        <is>
          <t>yes</t>
        </is>
      </c>
      <c r="M25" s="2" t="inlineStr">
        <is>
          <t>PD51633</t>
        </is>
      </c>
      <c r="N25" s="2" t="n">
        <v>23</v>
      </c>
      <c r="O25" s="2" t="inlineStr">
        <is>
          <t>1 / 2 / 20</t>
        </is>
      </c>
      <c r="P25" s="2" t="n">
        <v>13</v>
      </c>
      <c r="Q25" s="2" t="n">
        <v>2</v>
      </c>
      <c r="R25" s="2" t="inlineStr">
        <is>
          <t>8 %</t>
        </is>
      </c>
      <c r="S25" s="5" t="inlineStr">
        <is>
          <t>no</t>
        </is>
      </c>
      <c r="T25" s="3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26">
      <c r="A26" s="2" t="inlineStr">
        <is>
          <t>PD51634</t>
        </is>
      </c>
      <c r="B26" s="2" t="inlineStr"/>
      <c r="C26" s="2" t="inlineStr">
        <is>
          <t>Kamizela 2025 Nature (CML)</t>
        </is>
      </c>
      <c r="D26" s="2" t="inlineStr">
        <is>
          <t>BCR::ABL1</t>
        </is>
      </c>
      <c r="E26" s="3" t="inlineStr"/>
      <c r="F26" s="2" t="inlineStr">
        <is>
          <t>PD51634</t>
        </is>
      </c>
      <c r="G26" s="2" t="inlineStr">
        <is>
          <t>GRCh38</t>
        </is>
      </c>
      <c r="H26" s="2" t="n">
        <v>117</v>
      </c>
      <c r="I26" s="4" t="inlineStr">
        <is>
          <t>done</t>
        </is>
      </c>
      <c r="J26" s="2" t="inlineStr">
        <is>
          <t>/lustre/scratch126/casm/teams/team273/users/jd43/hsc_foldback2/PD51634/PD51634</t>
        </is>
      </c>
      <c r="K26" s="2" t="inlineStr">
        <is>
          <t>c72e5a6 (dense-filter removal + supp-twin exclusion in)</t>
        </is>
      </c>
      <c r="L26" s="4" t="inlineStr">
        <is>
          <t>yes</t>
        </is>
      </c>
      <c r="M26" s="2" t="inlineStr">
        <is>
          <t>PD51634</t>
        </is>
      </c>
      <c r="N26" s="2" t="n">
        <v>61</v>
      </c>
      <c r="O26" s="2" t="inlineStr">
        <is>
          <t>3 / 4 / 54</t>
        </is>
      </c>
      <c r="P26" s="2" t="n">
        <v>35</v>
      </c>
      <c r="Q26" s="2" t="n">
        <v>7</v>
      </c>
      <c r="R26" s="2" t="inlineStr">
        <is>
          <t>11 %</t>
        </is>
      </c>
      <c r="S26" s="5" t="inlineStr">
        <is>
          <t>no</t>
        </is>
      </c>
      <c r="T26" s="3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27">
      <c r="A27" s="2" t="inlineStr">
        <is>
          <t>PD56961</t>
        </is>
      </c>
      <c r="B27" s="2" t="inlineStr"/>
      <c r="C27" s="2" t="inlineStr">
        <is>
          <t>Kamizela 2025 Nature (CML)</t>
        </is>
      </c>
      <c r="D27" s="2" t="inlineStr">
        <is>
          <t>BCR::ABL1</t>
        </is>
      </c>
      <c r="E27" s="3" t="inlineStr"/>
      <c r="F27" s="2" t="inlineStr">
        <is>
          <t>PD56961</t>
        </is>
      </c>
      <c r="G27" s="2" t="inlineStr">
        <is>
          <t>GRCh38</t>
        </is>
      </c>
      <c r="H27" s="2" t="n">
        <v>163</v>
      </c>
      <c r="I27" s="4" t="inlineStr">
        <is>
          <t>done</t>
        </is>
      </c>
      <c r="J27" s="2" t="inlineStr">
        <is>
          <t>/lustre/scratch126/casm/teams/team273/users/jd43/hsc_foldback2/PD56961/PD56961</t>
        </is>
      </c>
      <c r="K27" s="2" t="inlineStr">
        <is>
          <t>3bb7d22 (fold-back strand fix in; predates fa616a2 supp-twin exclusion + 9626905 dense-filter removal)</t>
        </is>
      </c>
      <c r="L27" s="4" t="inlineStr">
        <is>
          <t>yes</t>
        </is>
      </c>
      <c r="M27" s="2" t="inlineStr">
        <is>
          <t>PD56961</t>
        </is>
      </c>
      <c r="N27" s="2" t="n">
        <v>20</v>
      </c>
      <c r="O27" s="2" t="inlineStr">
        <is>
          <t>5 / 3 / 12</t>
        </is>
      </c>
      <c r="P27" s="2" t="n">
        <v>32</v>
      </c>
      <c r="Q27" s="2" t="n">
        <v>16</v>
      </c>
      <c r="R27" s="2" t="inlineStr">
        <is>
          <t>80 %</t>
        </is>
      </c>
      <c r="S27" s="5" t="inlineStr">
        <is>
          <t>no</t>
        </is>
      </c>
      <c r="T27" s="3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28">
      <c r="A28" s="2" t="inlineStr">
        <is>
          <t>PD57332</t>
        </is>
      </c>
      <c r="B28" s="2" t="inlineStr"/>
      <c r="C28" s="2" t="inlineStr">
        <is>
          <t>Kamizela 2025 Nature (CML)</t>
        </is>
      </c>
      <c r="D28" s="2" t="inlineStr">
        <is>
          <t>BCR::ABL1</t>
        </is>
      </c>
      <c r="E28" s="3" t="inlineStr"/>
      <c r="F28" s="2" t="inlineStr">
        <is>
          <t>PD57332</t>
        </is>
      </c>
      <c r="G28" s="2" t="inlineStr">
        <is>
          <t>GRCh38</t>
        </is>
      </c>
      <c r="H28" s="2" t="n">
        <v>35</v>
      </c>
      <c r="I28" s="4" t="inlineStr">
        <is>
          <t>done</t>
        </is>
      </c>
      <c r="J28" s="2" t="inlineStr">
        <is>
          <t>/lustre/scratch126/casm/teams/team273/users/jd43/hsc_foldback2/PD57332/PD57332</t>
        </is>
      </c>
      <c r="K28" s="2" t="inlineStr">
        <is>
          <t>1fcdc92 (annotate SV lift + PROVIRUS_LTR, somatic_table beta-binomial het gate)</t>
        </is>
      </c>
      <c r="L28" s="4" t="inlineStr">
        <is>
          <t>yes</t>
        </is>
      </c>
      <c r="M28" s="2" t="inlineStr">
        <is>
          <t>PD57332</t>
        </is>
      </c>
      <c r="N28" s="2" t="n">
        <v>10</v>
      </c>
      <c r="O28" s="2" t="inlineStr">
        <is>
          <t>2 / 2 / 6</t>
        </is>
      </c>
      <c r="P28" s="2" t="n">
        <v>9</v>
      </c>
      <c r="Q28" s="2" t="n">
        <v>4</v>
      </c>
      <c r="R28" s="2" t="inlineStr">
        <is>
          <t>40 %</t>
        </is>
      </c>
      <c r="S28" s="5" t="inlineStr">
        <is>
          <t>no</t>
        </is>
      </c>
      <c r="T28" s="3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29">
      <c r="A29" s="2" t="inlineStr">
        <is>
          <t>PD57333</t>
        </is>
      </c>
      <c r="B29" s="2" t="inlineStr"/>
      <c r="C29" s="2" t="inlineStr">
        <is>
          <t>Kamizela 2025 Nature (CML)</t>
        </is>
      </c>
      <c r="D29" s="2" t="inlineStr">
        <is>
          <t>BCR::ABL1</t>
        </is>
      </c>
      <c r="E29" s="3" t="inlineStr"/>
      <c r="F29" s="2" t="inlineStr">
        <is>
          <t>PD57333</t>
        </is>
      </c>
      <c r="G29" s="2" t="inlineStr">
        <is>
          <t>GRCh38</t>
        </is>
      </c>
      <c r="H29" s="2" t="n">
        <v>75</v>
      </c>
      <c r="I29" s="2" t="inlineStr">
        <is>
          <t>done (results not yet copied)</t>
        </is>
      </c>
      <c r="J29" s="2" t="inlineStr">
        <is>
          <t>/lustre/scratch126/casm/teams/team273/users/jd43/hsc_foldback2/PD57333/PD57333</t>
        </is>
      </c>
      <c r="K29" s="2" t="inlineStr">
        <is>
          <t>1fcdc92 (annotate SV lift + PROVIRUS_LTR, somatic_table beta-binomial het gate)</t>
        </is>
      </c>
      <c r="L29" s="6" t="inlineStr">
        <is>
          <t>partial</t>
        </is>
      </c>
      <c r="M29" s="2" t="inlineStr">
        <is>
          <t>PD57333</t>
        </is>
      </c>
      <c r="N29" s="2" t="inlineStr"/>
      <c r="O29" s="2" t="inlineStr"/>
      <c r="P29" s="2" t="inlineStr"/>
      <c r="Q29" s="2" t="inlineStr"/>
      <c r="R29" s="2" t="inlineStr">
        <is>
          <t>no somatic table</t>
        </is>
      </c>
      <c r="S29" s="5" t="inlineStr">
        <is>
          <t>no</t>
        </is>
      </c>
      <c r="T29" s="3" t="inlineStr">
        <is>
          <t>submitted ~2026-10-13 (job IDs not recorded); done 2026-10-15, results in /nfs/users/nfs_j/jd43/results/hsc_foldback2/PD57333; 75/75 colonies GRCh38</t>
        </is>
      </c>
    </row>
    <row r="30">
      <c r="A30" s="2" t="inlineStr">
        <is>
          <t>PD57334</t>
        </is>
      </c>
      <c r="B30" s="2" t="inlineStr"/>
      <c r="C30" s="2" t="inlineStr">
        <is>
          <t>Kamizela 2025 Nature (CML)</t>
        </is>
      </c>
      <c r="D30" s="2" t="inlineStr">
        <is>
          <t>BCR::ABL1</t>
        </is>
      </c>
      <c r="E30" s="3" t="inlineStr"/>
      <c r="F30" s="2" t="inlineStr">
        <is>
          <t>PD57334</t>
        </is>
      </c>
      <c r="G30" s="2" t="inlineStr">
        <is>
          <t>GRCh38</t>
        </is>
      </c>
      <c r="H30" s="2" t="n">
        <v>55</v>
      </c>
      <c r="I30" s="2" t="inlineStr">
        <is>
          <t>done (results not yet copied)</t>
        </is>
      </c>
      <c r="J30" s="2" t="inlineStr">
        <is>
          <t>/lustre/scratch126/casm/teams/team273/users/jd43/hsc_foldback2/PD57334/PD57334</t>
        </is>
      </c>
      <c r="K30" s="2" t="inlineStr">
        <is>
          <t>1fcdc92 (annotate SV lift + PROVIRUS_LTR, somatic_table beta-binomial het gate)</t>
        </is>
      </c>
      <c r="L30" s="5" t="inlineStr">
        <is>
          <t>no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5" t="inlineStr">
        <is>
          <t>no</t>
        </is>
      </c>
      <c r="T30" s="3" t="inlineStr">
        <is>
          <t>submitted ~2026-10-13 (job IDs not recorded); done 2026-10-15, results in /nfs/users/nfs_j/jd43/results/hsc_foldback2/PD57334; 55/55 colonies GRCh38</t>
        </is>
      </c>
    </row>
    <row r="31">
      <c r="A31" s="2" t="inlineStr">
        <is>
          <t>PD57335</t>
        </is>
      </c>
      <c r="B31" s="2" t="inlineStr"/>
      <c r="C31" s="2" t="inlineStr">
        <is>
          <t>Kamizela 2025 Nature (CML)</t>
        </is>
      </c>
      <c r="D31" s="2" t="inlineStr">
        <is>
          <t>BCR::ABL1</t>
        </is>
      </c>
      <c r="E31" s="3" t="inlineStr"/>
      <c r="F31" s="2" t="inlineStr">
        <is>
          <t>PD57335</t>
        </is>
      </c>
      <c r="G31" s="2" t="inlineStr">
        <is>
          <t>GRCh38</t>
        </is>
      </c>
      <c r="H31" s="2" t="n">
        <v>102</v>
      </c>
      <c r="I31" s="6" t="inlineStr">
        <is>
          <t>running</t>
        </is>
      </c>
      <c r="J31" s="2" t="inlineStr">
        <is>
          <t>/lustre/scratch126/casm/teams/team273/users/jd43/hsc_foldback2/PD57335/PD57335</t>
        </is>
      </c>
      <c r="K31" s="2" t="inlineStr">
        <is>
          <t>1fcdc92 (annotate SV lift + PROVIRUS_LTR, somatic_table beta-binomial het gate)</t>
        </is>
      </c>
      <c r="L31" s="5" t="inlineStr">
        <is>
          <t>no</t>
        </is>
      </c>
      <c r="M31" s="2" t="inlineStr"/>
      <c r="N31" s="2" t="inlineStr"/>
      <c r="O31" s="2" t="inlineStr"/>
      <c r="P31" s="2" t="inlineStr"/>
      <c r="Q31" s="2" t="inlineStr"/>
      <c r="R31" s="2" t="inlineStr"/>
      <c r="S31" s="5" t="inlineStr">
        <is>
          <t>no</t>
        </is>
      </c>
      <c r="T31" s="3" t="inlineStr">
        <is>
          <t>submitted 2026-10-15 (job IDs not recorded), results -&gt; /nfs/users/nfs_j/jd43/results/hsc_foldback2/PD57335; 102/102 colonies GRCh38</t>
        </is>
      </c>
    </row>
  </sheetData>
  <autoFilter ref="A1:T31"/>
  <dataValidations count="2">
    <dataValidation sqref="I2:I31" showDropDown="0" showInputMessage="0" showErrorMessage="0" allowBlank="1" type="list">
      <formula1>"not run,submitted,running,report incomplete,done,failed"</formula1>
    </dataValidation>
    <dataValidation sqref="S2:S3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Run tracker</t>
        </is>
      </c>
      <c r="B1" t="inlineStr">
        <is>
          <t>refreshed 2026-10-15 06:24</t>
        </is>
      </c>
    </row>
    <row r="3">
      <c r="A3" s="8" t="inlineStr"/>
      <c r="B3" s="8" t="inlineStr">
        <is>
          <t>patients</t>
        </is>
      </c>
      <c r="C3" s="8" t="inlineStr">
        <is>
          <t>farm run done</t>
        </is>
      </c>
      <c r="D3" s="8" t="inlineStr">
        <is>
          <t>data local</t>
        </is>
      </c>
      <c r="E3" s="8" t="inlineStr">
        <is>
          <t>review signed off</t>
        </is>
      </c>
    </row>
    <row r="4">
      <c r="A4" t="inlineStr">
        <is>
          <t>TP53 clade</t>
        </is>
      </c>
      <c r="B4" t="n">
        <v>18</v>
      </c>
      <c r="C4" t="n">
        <v>4</v>
      </c>
      <c r="D4" t="n">
        <v>5</v>
      </c>
      <c r="E4" t="n">
        <v>0</v>
      </c>
    </row>
    <row r="5">
      <c r="A5" t="inlineStr">
        <is>
          <t>BCR::ABL1</t>
        </is>
      </c>
      <c r="B5" t="n">
        <v>9</v>
      </c>
      <c r="C5" t="n">
        <v>6</v>
      </c>
      <c r="D5" t="n">
        <v>6</v>
      </c>
      <c r="E5" t="n">
        <v>0</v>
      </c>
    </row>
    <row r="6">
      <c r="A6" t="inlineStr">
        <is>
          <t>transplant pair (people)</t>
        </is>
      </c>
      <c r="B6" t="n">
        <v>8</v>
      </c>
      <c r="C6" t="n">
        <v>0</v>
      </c>
      <c r="D6" t="n">
        <v>0</v>
      </c>
      <c r="E6" t="n">
        <v>0</v>
      </c>
    </row>
    <row r="7">
      <c r="A7" t="inlineStr">
        <is>
          <t>all</t>
        </is>
      </c>
      <c r="B7" t="n">
        <v>30</v>
      </c>
      <c r="C7" t="n">
        <v>9</v>
      </c>
      <c r="D7" t="n">
        <v>10</v>
      </c>
      <c r="E7" t="n">
        <v>0</v>
      </c>
    </row>
    <row r="9">
      <c r="A9" t="inlineStr">
        <is>
          <t>Rows with the same Run unit (transplant donor + recipient, SDS5's two time points) are ONE run on one shared tree: Farm run, run dir, commit, results and sign-off are kept identical across them; editing one row updates the others. hsc_run.sh refuses to submit one PD id of a unit alone.</t>
        </is>
      </c>
    </row>
    <row r="10">
      <c r="A10" t="inlineStr">
        <is>
          <t>Manual columns (edit here, they survive a rebuild): Farm run, Farm run dir, PEAR-TREE commit, Results dir, Review signed off, Notes.</t>
        </is>
      </c>
    </row>
    <row r="11">
      <c r="A11" t="inlineStr">
        <is>
          <t>Automatic columns (rebuilt from ~/Documents/hsc_results): Colonies, Data local, Somatic rows, Tiers, Excluded, Reviewed (insertion_review verdicts), Review progress.</t>
        </is>
      </c>
    </row>
    <row r="12">
      <c r="A12" t="inlineStr">
        <is>
          <t>A commit starting with '~' was inferred from dates, not recorded by the run; runs submitted after pipeline.sh started stamping PT_COMMIT into run.env show the real one.</t>
        </is>
      </c>
    </row>
    <row r="13">
      <c r="A13" t="inlineStr">
        <is>
          <t>Rebuild: python3 cluster/run_tracker.py   (roster: patients/run_tracker.tsv)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PD id</t>
        </is>
      </c>
      <c r="B1" t="inlineStr">
        <is>
          <t>Role</t>
        </is>
      </c>
      <c r="C1" t="inlineStr">
        <is>
          <t>Cohort</t>
        </is>
      </c>
      <c r="D1" t="inlineStr">
        <is>
          <t>Why tracked</t>
        </is>
      </c>
      <c r="E1" t="inlineStr">
        <is>
          <t>TP53 on tree</t>
        </is>
      </c>
      <c r="F1" t="inlineStr">
        <is>
          <t>Run unit (analysed together)</t>
        </is>
      </c>
      <c r="G1" t="inlineStr">
        <is>
          <t>Assembly</t>
        </is>
      </c>
      <c r="H1" t="inlineStr">
        <is>
          <t>Colonies</t>
        </is>
      </c>
      <c r="I1" t="inlineStr">
        <is>
          <t>Farm run</t>
        </is>
      </c>
      <c r="J1" t="inlineStr">
        <is>
          <t>Farm run dir</t>
        </is>
      </c>
      <c r="K1" t="inlineStr">
        <is>
          <t>PEAR-TREE commit</t>
        </is>
      </c>
      <c r="L1" t="inlineStr">
        <is>
          <t>Data local</t>
        </is>
      </c>
      <c r="M1" t="inlineStr">
        <is>
          <t>Results dir</t>
        </is>
      </c>
      <c r="N1" t="inlineStr">
        <is>
          <t>Somatic rows</t>
        </is>
      </c>
      <c r="O1" t="inlineStr">
        <is>
          <t>Tier B / C / D</t>
        </is>
      </c>
      <c r="P1" t="inlineStr">
        <is>
          <t>Excluded</t>
        </is>
      </c>
      <c r="Q1" t="inlineStr">
        <is>
          <t>Reviewed</t>
        </is>
      </c>
      <c r="R1" t="inlineStr">
        <is>
          <t>Review progress</t>
        </is>
      </c>
      <c r="S1" t="inlineStr">
        <is>
          <t>Review signed off</t>
        </is>
      </c>
      <c r="T1" t="inlineStr">
        <is>
          <t>Notes</t>
        </is>
      </c>
    </row>
    <row r="2">
      <c r="A2" t="inlineStr">
        <is>
          <t>PD37580</t>
        </is>
      </c>
      <c r="B2" t="inlineStr">
        <is>
          <t>PX007</t>
        </is>
      </c>
      <c r="C2" t="inlineStr">
        <is>
          <t>Mitchell 2025 Nat Genet (chemo)</t>
        </is>
      </c>
      <c r="D2" t="inlineStr">
        <is>
          <t>TP53 clade</t>
        </is>
      </c>
      <c r="E2" t="inlineStr">
        <is>
          <t>I195F+C176Y (8 col), Y234C (3), K132R (2), S241C, K120M</t>
        </is>
      </c>
      <c r="F2" t="inlineStr">
        <is>
          <t>PD37580</t>
        </is>
      </c>
      <c r="G2" t="inlineStr">
        <is>
          <t>GRCh37</t>
        </is>
      </c>
      <c r="H2" t="n">
        <v>84</v>
      </c>
      <c r="I2" t="inlineStr">
        <is>
          <t>done</t>
        </is>
      </c>
      <c r="J2" t="inlineStr">
        <is>
          <t>/lustre/scratch126/casm/teams/team273/users/jd43/hsc/PD37580/PD37580</t>
        </is>
      </c>
      <c r="K2" t="inlineStr">
        <is>
          <t>~08dbac3 (inferred, hsc-deploy 2026-10-07); report 700ecf8</t>
        </is>
      </c>
      <c r="L2" t="inlineStr">
        <is>
          <t>yes</t>
        </is>
      </c>
      <c r="M2" t="inlineStr">
        <is>
          <t>PD37580</t>
        </is>
      </c>
      <c r="N2" t="n">
        <v>20</v>
      </c>
      <c r="O2" t="inlineStr">
        <is>
          <t>1 / 2 / 17</t>
        </is>
      </c>
      <c r="P2" t="inlineStr"/>
      <c r="Q2" t="n">
        <v>6</v>
      </c>
      <c r="R2" t="inlineStr">
        <is>
          <t>30 %</t>
        </is>
      </c>
      <c r="S2" t="inlineStr">
        <is>
          <t>no</t>
        </is>
      </c>
      <c r="T2" t="inlineStr">
        <is>
          <t>native GRCh37 run 2026-10-07; old-pipeline results also in ~/Documents/retrotransposons_sanger/results/PD37580</t>
        </is>
      </c>
    </row>
    <row r="3">
      <c r="A3" t="inlineStr">
        <is>
          <t>PD47703</t>
        </is>
      </c>
      <c r="B3" t="inlineStr">
        <is>
          <t>PX001</t>
        </is>
      </c>
      <c r="C3" t="inlineStr">
        <is>
          <t>Mitchell 2025 Nat Genet (chemo)</t>
        </is>
      </c>
      <c r="D3" t="inlineStr">
        <is>
          <t>TP53 clade</t>
        </is>
      </c>
      <c r="E3" t="inlineStr">
        <is>
          <t>P128fs, V274A (tree 1); V172F (tree 2)</t>
        </is>
      </c>
      <c r="F3" t="inlineStr">
        <is>
          <t>PD47703</t>
        </is>
      </c>
      <c r="G3" t="inlineStr">
        <is>
          <t>GRCh37</t>
        </is>
      </c>
      <c r="H3" t="n">
        <v>259</v>
      </c>
      <c r="I3" t="inlineStr">
        <is>
          <t>not run</t>
        </is>
      </c>
      <c r="J3" t="inlineStr"/>
      <c r="K3" t="inlineStr"/>
      <c r="L3" t="inlineStr">
        <is>
          <t>no</t>
        </is>
      </c>
      <c r="M3" t="inlineStr"/>
      <c r="N3" t="inlineStr"/>
      <c r="O3" t="inlineStr"/>
      <c r="P3" t="inlineStr"/>
      <c r="Q3" t="inlineStr"/>
      <c r="R3" t="inlineStr"/>
      <c r="S3" t="inlineStr">
        <is>
          <t>no</t>
        </is>
      </c>
      <c r="T3" t="inlineStr">
        <is>
          <t>old-pipeline results only (~/Documents/retrotransposons_sanger/results/PD47703)</t>
        </is>
      </c>
    </row>
    <row r="4">
      <c r="A4" t="inlineStr">
        <is>
          <t>PD45534</t>
        </is>
      </c>
      <c r="B4" t="inlineStr">
        <is>
          <t>KX004</t>
        </is>
      </c>
      <c r="C4" t="inlineStr">
        <is>
          <t>Mitchell 2022 Nature (ageing)</t>
        </is>
      </c>
      <c r="D4" t="inlineStr">
        <is>
          <t>TP53 clade</t>
        </is>
      </c>
      <c r="E4" t="inlineStr">
        <is>
          <t>V157I</t>
        </is>
      </c>
      <c r="F4" t="inlineStr">
        <is>
          <t>PD45534</t>
        </is>
      </c>
      <c r="G4" t="inlineStr">
        <is>
          <t>GRCh38</t>
        </is>
      </c>
      <c r="H4" t="n">
        <v>922</v>
      </c>
      <c r="I4" t="inlineStr">
        <is>
          <t>not run</t>
        </is>
      </c>
      <c r="J4" t="inlineStr"/>
      <c r="K4" t="inlineStr"/>
      <c r="L4" t="inlineStr">
        <is>
          <t>no</t>
        </is>
      </c>
      <c r="M4" t="inlineStr"/>
      <c r="N4" t="inlineStr"/>
      <c r="O4" t="inlineStr"/>
      <c r="P4" t="inlineStr"/>
      <c r="Q4" t="inlineStr"/>
      <c r="R4" t="inlineStr"/>
      <c r="S4" t="inlineStr">
        <is>
          <t>no</t>
        </is>
      </c>
      <c r="T4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</t>
        </is>
      </c>
    </row>
    <row r="5">
      <c r="A5" t="inlineStr">
        <is>
          <t>PD45792</t>
        </is>
      </c>
      <c r="B5" t="inlineStr">
        <is>
          <t>Pair11 donor</t>
        </is>
      </c>
      <c r="C5" t="inlineStr">
        <is>
          <t>Spencer Chapman 2024 Nature (allo-HCT)</t>
        </is>
      </c>
      <c r="D5" t="inlineStr">
        <is>
          <t>TP53 clade; transplant pair</t>
        </is>
      </c>
      <c r="E5" t="inlineStr">
        <is>
          <t>R273H</t>
        </is>
      </c>
      <c r="F5" t="inlineStr">
        <is>
          <t>Pair11_PD45792_PD45793</t>
        </is>
      </c>
      <c r="G5" t="inlineStr">
        <is>
          <t>GRCh37</t>
        </is>
      </c>
      <c r="H5" t="n">
        <v>179</v>
      </c>
      <c r="I5" t="inlineStr">
        <is>
          <t>not run</t>
        </is>
      </c>
      <c r="J5" t="inlineStr"/>
      <c r="K5" t="inlineStr"/>
      <c r="L5" t="inlineStr">
        <is>
          <t>no</t>
        </is>
      </c>
      <c r="M5" t="inlineStr"/>
      <c r="N5" t="inlineStr"/>
      <c r="O5" t="inlineStr"/>
      <c r="P5" t="inlineStr"/>
      <c r="Q5" t="inlineStr"/>
      <c r="R5" t="inlineStr"/>
      <c r="S5" t="inlineStr">
        <is>
          <t>no</t>
        </is>
      </c>
      <c r="T5" t="inlineStr"/>
    </row>
    <row r="6">
      <c r="A6" t="inlineStr">
        <is>
          <t>PD45793</t>
        </is>
      </c>
      <c r="B6" t="inlineStr">
        <is>
          <t>Pair11 recipient</t>
        </is>
      </c>
      <c r="C6" t="inlineStr">
        <is>
          <t>Spencer Chapman 2024 Nature (allo-HCT)</t>
        </is>
      </c>
      <c r="D6" t="inlineStr">
        <is>
          <t>transplant pair</t>
        </is>
      </c>
      <c r="E6" t="inlineStr"/>
      <c r="F6" t="inlineStr">
        <is>
          <t>Pair11_PD45792_PD45793</t>
        </is>
      </c>
      <c r="G6" t="inlineStr">
        <is>
          <t>GRCh37</t>
        </is>
      </c>
      <c r="H6" t="n">
        <v>146</v>
      </c>
      <c r="I6" t="inlineStr">
        <is>
          <t>not run</t>
        </is>
      </c>
      <c r="J6" t="inlineStr"/>
      <c r="K6" t="inlineStr"/>
      <c r="L6" t="inlineStr">
        <is>
          <t>no</t>
        </is>
      </c>
      <c r="M6" t="inlineStr"/>
      <c r="N6" t="inlineStr"/>
      <c r="O6" t="inlineStr"/>
      <c r="P6" t="inlineStr"/>
      <c r="Q6" t="inlineStr"/>
      <c r="R6" t="inlineStr"/>
      <c r="S6" t="inlineStr">
        <is>
          <t>no</t>
        </is>
      </c>
      <c r="T6" t="inlineStr"/>
    </row>
    <row r="7">
      <c r="A7" t="inlineStr">
        <is>
          <t>PD45794</t>
        </is>
      </c>
      <c r="B7" t="inlineStr">
        <is>
          <t>Pair13 donor</t>
        </is>
      </c>
      <c r="C7" t="inlineStr">
        <is>
          <t>Spencer Chapman 2024 Nature (allo-HCT)</t>
        </is>
      </c>
      <c r="D7" t="inlineStr">
        <is>
          <t>TP53 clade; transplant pair</t>
        </is>
      </c>
      <c r="E7" t="inlineStr">
        <is>
          <t>R158H</t>
        </is>
      </c>
      <c r="F7" t="inlineStr">
        <is>
          <t>Pair13_PD45794_PD45795</t>
        </is>
      </c>
      <c r="G7" t="inlineStr">
        <is>
          <t>GRCh37</t>
        </is>
      </c>
      <c r="H7" t="n">
        <v>104</v>
      </c>
      <c r="I7" t="inlineStr">
        <is>
          <t>not run</t>
        </is>
      </c>
      <c r="J7" t="inlineStr"/>
      <c r="K7" t="inlineStr"/>
      <c r="L7" t="inlineStr">
        <is>
          <t>no</t>
        </is>
      </c>
      <c r="M7" t="inlineStr"/>
      <c r="N7" t="inlineStr"/>
      <c r="O7" t="inlineStr"/>
      <c r="P7" t="inlineStr"/>
      <c r="Q7" t="inlineStr"/>
      <c r="R7" t="inlineStr"/>
      <c r="S7" t="inlineStr">
        <is>
          <t>no</t>
        </is>
      </c>
      <c r="T7" t="inlineStr"/>
    </row>
    <row r="8">
      <c r="A8" t="inlineStr">
        <is>
          <t>PD45795</t>
        </is>
      </c>
      <c r="B8" t="inlineStr">
        <is>
          <t>Pair13 recipient</t>
        </is>
      </c>
      <c r="C8" t="inlineStr">
        <is>
          <t>Spencer Chapman 2024 Nature (allo-HCT)</t>
        </is>
      </c>
      <c r="D8" t="inlineStr">
        <is>
          <t>transplant pair</t>
        </is>
      </c>
      <c r="E8" t="inlineStr"/>
      <c r="F8" t="inlineStr">
        <is>
          <t>Pair13_PD45794_PD45795</t>
        </is>
      </c>
      <c r="G8" t="inlineStr">
        <is>
          <t>GRCh37</t>
        </is>
      </c>
      <c r="H8" t="n">
        <v>194</v>
      </c>
      <c r="I8" t="inlineStr">
        <is>
          <t>not run</t>
        </is>
      </c>
      <c r="J8" t="inlineStr"/>
      <c r="K8" t="inlineStr"/>
      <c r="L8" t="inlineStr">
        <is>
          <t>no</t>
        </is>
      </c>
      <c r="M8" t="inlineStr"/>
      <c r="N8" t="inlineStr"/>
      <c r="O8" t="inlineStr"/>
      <c r="P8" t="inlineStr"/>
      <c r="Q8" t="inlineStr"/>
      <c r="R8" t="inlineStr"/>
      <c r="S8" t="inlineStr">
        <is>
          <t>no</t>
        </is>
      </c>
      <c r="T8" t="inlineStr"/>
    </row>
    <row r="9">
      <c r="A9" t="inlineStr">
        <is>
          <t>PD45808</t>
        </is>
      </c>
      <c r="B9" t="inlineStr">
        <is>
          <t>Pair38 donor</t>
        </is>
      </c>
      <c r="C9" t="inlineStr">
        <is>
          <t>Spencer Chapman 2024 Nature (allo-HCT)</t>
        </is>
      </c>
      <c r="D9" t="inlineStr">
        <is>
          <t>transplant pair</t>
        </is>
      </c>
      <c r="E9" t="inlineStr"/>
      <c r="F9" t="inlineStr">
        <is>
          <t>Pair38_PD45808_PD45809</t>
        </is>
      </c>
      <c r="G9" t="inlineStr">
        <is>
          <t>GRCh37</t>
        </is>
      </c>
      <c r="H9" t="n">
        <v>143</v>
      </c>
      <c r="I9" t="inlineStr">
        <is>
          <t>not run</t>
        </is>
      </c>
      <c r="J9" t="inlineStr"/>
      <c r="K9" t="inlineStr"/>
      <c r="L9" t="inlineStr">
        <is>
          <t>no</t>
        </is>
      </c>
      <c r="M9" t="inlineStr"/>
      <c r="N9" t="inlineStr"/>
      <c r="O9" t="inlineStr"/>
      <c r="P9" t="inlineStr"/>
      <c r="Q9" t="inlineStr"/>
      <c r="R9" t="inlineStr"/>
      <c r="S9" t="inlineStr">
        <is>
          <t>no</t>
        </is>
      </c>
      <c r="T9" t="inlineStr"/>
    </row>
    <row r="10">
      <c r="A10" t="inlineStr">
        <is>
          <t>PD45809</t>
        </is>
      </c>
      <c r="B10" t="inlineStr">
        <is>
          <t>Pair38 recipient</t>
        </is>
      </c>
      <c r="C10" t="inlineStr">
        <is>
          <t>Spencer Chapman 2024 Nature (allo-HCT)</t>
        </is>
      </c>
      <c r="D10" t="inlineStr">
        <is>
          <t>TP53 clade; transplant pair</t>
        </is>
      </c>
      <c r="E10" t="inlineStr">
        <is>
          <t>V272M (2 tips = duplicate pair, one clone)</t>
        </is>
      </c>
      <c r="F10" t="inlineStr">
        <is>
          <t>Pair38_PD45808_PD45809</t>
        </is>
      </c>
      <c r="G10" t="inlineStr">
        <is>
          <t>GRCh37</t>
        </is>
      </c>
      <c r="H10" t="n">
        <v>109</v>
      </c>
      <c r="I10" t="inlineStr">
        <is>
          <t>not run</t>
        </is>
      </c>
      <c r="J10" t="inlineStr"/>
      <c r="K10" t="inlineStr"/>
      <c r="L10" t="inlineStr">
        <is>
          <t>no</t>
        </is>
      </c>
      <c r="M10" t="inlineStr"/>
      <c r="N10" t="inlineStr"/>
      <c r="O10" t="inlineStr"/>
      <c r="P10" t="inlineStr"/>
      <c r="Q10" t="inlineStr"/>
      <c r="R10" t="inlineStr"/>
      <c r="S10" t="inlineStr">
        <is>
          <t>no</t>
        </is>
      </c>
      <c r="T10" t="inlineStr"/>
    </row>
    <row r="11">
      <c r="A11" t="inlineStr">
        <is>
          <t>PD45810</t>
        </is>
      </c>
      <c r="B11" t="inlineStr">
        <is>
          <t>Pair40 donor</t>
        </is>
      </c>
      <c r="C11" t="inlineStr">
        <is>
          <t>Spencer Chapman 2024 Nature (allo-HCT)</t>
        </is>
      </c>
      <c r="D11" t="inlineStr">
        <is>
          <t>transplant pair</t>
        </is>
      </c>
      <c r="E11" t="inlineStr"/>
      <c r="F11" t="inlineStr">
        <is>
          <t>Pair40_PD45810_PD45811</t>
        </is>
      </c>
      <c r="G11" t="inlineStr">
        <is>
          <t>GRCh37</t>
        </is>
      </c>
      <c r="H11" t="n">
        <v>143</v>
      </c>
      <c r="I11" t="inlineStr">
        <is>
          <t>not run</t>
        </is>
      </c>
      <c r="J11" t="inlineStr"/>
      <c r="K11" t="inlineStr"/>
      <c r="L11" t="inlineStr">
        <is>
          <t>no</t>
        </is>
      </c>
      <c r="M11" t="inlineStr"/>
      <c r="N11" t="inlineStr"/>
      <c r="O11" t="inlineStr"/>
      <c r="P11" t="inlineStr"/>
      <c r="Q11" t="inlineStr"/>
      <c r="R11" t="inlineStr"/>
      <c r="S11" t="inlineStr">
        <is>
          <t>no</t>
        </is>
      </c>
      <c r="T11" t="inlineStr"/>
    </row>
    <row r="12">
      <c r="A12" t="inlineStr">
        <is>
          <t>PD45811</t>
        </is>
      </c>
      <c r="B12" t="inlineStr">
        <is>
          <t>Pair40 recipient</t>
        </is>
      </c>
      <c r="C12" t="inlineStr">
        <is>
          <t>Spencer Chapman 2024 Nature (allo-HCT)</t>
        </is>
      </c>
      <c r="D12" t="inlineStr">
        <is>
          <t>TP53 clade; transplant pair</t>
        </is>
      </c>
      <c r="E12" t="inlineStr">
        <is>
          <t>N239D</t>
        </is>
      </c>
      <c r="F12" t="inlineStr">
        <is>
          <t>Pair40_PD45810_PD45811</t>
        </is>
      </c>
      <c r="G12" t="inlineStr">
        <is>
          <t>GRCh37</t>
        </is>
      </c>
      <c r="H12" t="n">
        <v>136</v>
      </c>
      <c r="I12" t="inlineStr">
        <is>
          <t>not run</t>
        </is>
      </c>
      <c r="J12" t="inlineStr"/>
      <c r="K12" t="inlineStr"/>
      <c r="L12" t="inlineStr">
        <is>
          <t>no</t>
        </is>
      </c>
      <c r="M12" t="inlineStr"/>
      <c r="N12" t="inlineStr"/>
      <c r="O12" t="inlineStr"/>
      <c r="P12" t="inlineStr"/>
      <c r="Q12" t="inlineStr"/>
      <c r="R12" t="inlineStr"/>
      <c r="S12" t="inlineStr">
        <is>
          <t>no</t>
        </is>
      </c>
      <c r="T12" t="inlineStr"/>
    </row>
    <row r="13">
      <c r="A13" t="inlineStr">
        <is>
          <t>PD49229</t>
        </is>
      </c>
      <c r="B13" t="inlineStr">
        <is>
          <t>BCL002 (SCD4)</t>
        </is>
      </c>
      <c r="C13" t="inlineStr">
        <is>
          <t>Spencer Chapman 2023 Nat Med (SCD gene therapy)</t>
        </is>
      </c>
      <c r="D13" t="inlineStr">
        <is>
          <t>TP53 clade</t>
        </is>
      </c>
      <c r="E13" t="inlineStr">
        <is>
          <t>R273H</t>
        </is>
      </c>
      <c r="F13" t="inlineStr">
        <is>
          <t>PD49229</t>
        </is>
      </c>
      <c r="G13" t="inlineStr">
        <is>
          <t>GRCh37</t>
        </is>
      </c>
      <c r="H13" t="n">
        <v>722</v>
      </c>
      <c r="I13" t="inlineStr">
        <is>
          <t>report incomplete</t>
        </is>
      </c>
      <c r="J13" t="inlineStr">
        <is>
          <t>/lustre/scratch126/casm/teams/team273/users/jd43/hsc/PD49229/PD49229</t>
        </is>
      </c>
      <c r="K13" t="inlineStr">
        <is>
          <t>~7d9e241 (inferred, hsc-deploy 2026-10-07); annotate rerun on 59b75b6 (Rust RTE)</t>
        </is>
      </c>
      <c r="L13" t="inlineStr">
        <is>
          <t>yes</t>
        </is>
      </c>
      <c r="M13" t="inlineStr">
        <is>
          <t>PD49229</t>
        </is>
      </c>
      <c r="N13" t="n">
        <v>237</v>
      </c>
      <c r="O13" t="inlineStr">
        <is>
          <t>16 / 188 / 33</t>
        </is>
      </c>
      <c r="P13" t="n">
        <v>62</v>
      </c>
      <c r="Q13" t="n">
        <v>220</v>
      </c>
      <c r="R13" t="inlineStr">
        <is>
          <t>92 %</t>
        </is>
      </c>
      <c r="S13" t="inlineStr">
        <is>
          <t>no</t>
        </is>
      </c>
      <c r="T1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14">
      <c r="A14" t="inlineStr">
        <is>
          <t>PD43975</t>
        </is>
      </c>
      <c r="B14" t="inlineStr">
        <is>
          <t>SDS2</t>
        </is>
      </c>
      <c r="C14" t="inlineStr">
        <is>
          <t>Machado 2023 Nat Commun (Shwachman-Diamond)</t>
        </is>
      </c>
      <c r="D14" t="inlineStr">
        <is>
          <t>TP53 clade</t>
        </is>
      </c>
      <c r="E14" t="inlineStr">
        <is>
          <t>C141Y</t>
        </is>
      </c>
      <c r="F14" t="inlineStr">
        <is>
          <t>PD43975</t>
        </is>
      </c>
      <c r="G14" t="inlineStr">
        <is>
          <t>GRCh37</t>
        </is>
      </c>
      <c r="H14" t="n">
        <v>38</v>
      </c>
      <c r="I14" t="inlineStr">
        <is>
          <t>not run</t>
        </is>
      </c>
      <c r="J14" t="inlineStr"/>
      <c r="K14" t="inlineStr"/>
      <c r="L14" t="inlineStr">
        <is>
          <t>no</t>
        </is>
      </c>
      <c r="M14" t="inlineStr"/>
      <c r="N14" t="inlineStr"/>
      <c r="O14" t="inlineStr"/>
      <c r="P14" t="inlineStr"/>
      <c r="Q14" t="inlineStr"/>
      <c r="R14" t="inlineStr"/>
      <c r="S14" t="inlineStr">
        <is>
          <t>no</t>
        </is>
      </c>
      <c r="T14" t="inlineStr">
        <is>
          <t>tree added 2026-10-10 (zeros outgroup dropped); colonies.tsv populated 2026-10-10 (iRODS, all tips)</t>
        </is>
      </c>
    </row>
    <row r="15">
      <c r="A15" t="inlineStr">
        <is>
          <t>PD43293</t>
        </is>
      </c>
      <c r="B15" t="inlineStr">
        <is>
          <t>SDS4</t>
        </is>
      </c>
      <c r="C15" t="inlineStr">
        <is>
          <t>Machado 2023 Nat Commun (Shwachman-Diamond)</t>
        </is>
      </c>
      <c r="D15" t="inlineStr">
        <is>
          <t>TP53 clade</t>
        </is>
      </c>
      <c r="E15" t="inlineStr">
        <is>
          <t>R273L</t>
        </is>
      </c>
      <c r="F15" t="inlineStr">
        <is>
          <t>PD43293</t>
        </is>
      </c>
      <c r="G15" t="inlineStr">
        <is>
          <t>GRCh37</t>
        </is>
      </c>
      <c r="H15" t="n">
        <v>18</v>
      </c>
      <c r="I15" t="inlineStr">
        <is>
          <t>not run</t>
        </is>
      </c>
      <c r="J15" t="inlineStr"/>
      <c r="K15" t="inlineStr"/>
      <c r="L15" t="inlineStr">
        <is>
          <t>no</t>
        </is>
      </c>
      <c r="M15" t="inlineStr"/>
      <c r="N15" t="inlineStr"/>
      <c r="O15" t="inlineStr"/>
      <c r="P15" t="inlineStr"/>
      <c r="Q15" t="inlineStr"/>
      <c r="R15" t="inlineStr"/>
      <c r="S15" t="inlineStr">
        <is>
          <t>no</t>
        </is>
      </c>
      <c r="T15" t="inlineStr">
        <is>
          <t>tree added 2026-10-10 (zeros outgroup dropped); colonies.tsv populated 2026-10-10 (iRODS, all tips)</t>
        </is>
      </c>
    </row>
    <row r="16">
      <c r="A16" t="inlineStr">
        <is>
          <t>PD42190</t>
        </is>
      </c>
      <c r="B16" t="inlineStr">
        <is>
          <t>SDS5 (timepoint 1)</t>
        </is>
      </c>
      <c r="C16" t="inlineStr">
        <is>
          <t>Machado 2023 Nat Commun (Shwachman-Diamond)</t>
        </is>
      </c>
      <c r="D16" t="inlineStr">
        <is>
          <t>TP53 clade</t>
        </is>
      </c>
      <c r="E16" t="inlineStr">
        <is>
          <t>R248W (3), A159V (2), P151S (2) + 5 single</t>
        </is>
      </c>
      <c r="F16" t="inlineStr">
        <is>
          <t>SDS5_PD42190_PD45888</t>
        </is>
      </c>
      <c r="G16" t="inlineStr">
        <is>
          <t>GRCh37</t>
        </is>
      </c>
      <c r="H16" t="n">
        <v>48</v>
      </c>
      <c r="I16" t="inlineStr">
        <is>
          <t>not run</t>
        </is>
      </c>
      <c r="J16" t="inlineStr"/>
      <c r="K16" t="inlineStr"/>
      <c r="L16" t="inlineStr">
        <is>
          <t>no</t>
        </is>
      </c>
      <c r="M16" t="inlineStr"/>
      <c r="N16" t="inlineStr"/>
      <c r="O16" t="inlineStr"/>
      <c r="P16" t="inlineStr"/>
      <c r="Q16" t="inlineStr"/>
      <c r="R16" t="inlineStr"/>
      <c r="S16" t="inlineStr">
        <is>
          <t>no</t>
        </is>
      </c>
      <c r="T16" t="inlineStr">
        <is>
          <t>one tree with PD45888; colonies.tsv populated 2026-10-10 (100/100)</t>
        </is>
      </c>
    </row>
    <row r="17">
      <c r="A17" t="inlineStr">
        <is>
          <t>PD45888</t>
        </is>
      </c>
      <c r="B17" t="inlineStr">
        <is>
          <t>SDS5 (timepoint 2)</t>
        </is>
      </c>
      <c r="C17" t="inlineStr">
        <is>
          <t>Machado 2023 Nat Commun (Shwachman-Diamond)</t>
        </is>
      </c>
      <c r="D17" t="inlineStr">
        <is>
          <t>TP53 clade</t>
        </is>
      </c>
      <c r="E17" t="inlineStr">
        <is>
          <t>(shared SDS5 tree)</t>
        </is>
      </c>
      <c r="F17" t="inlineStr">
        <is>
          <t>SDS5_PD42190_PD45888</t>
        </is>
      </c>
      <c r="G17" t="inlineStr">
        <is>
          <t>GRCh37</t>
        </is>
      </c>
      <c r="H17" t="n">
        <v>52</v>
      </c>
      <c r="I17" t="inlineStr">
        <is>
          <t>not run</t>
        </is>
      </c>
      <c r="J17" t="inlineStr"/>
      <c r="K17" t="inlineStr"/>
      <c r="L17" t="inlineStr">
        <is>
          <t>no</t>
        </is>
      </c>
      <c r="M17" t="inlineStr"/>
      <c r="N17" t="inlineStr"/>
      <c r="O17" t="inlineStr"/>
      <c r="P17" t="inlineStr"/>
      <c r="Q17" t="inlineStr"/>
      <c r="R17" t="inlineStr"/>
      <c r="S17" t="inlineStr">
        <is>
          <t>no</t>
        </is>
      </c>
      <c r="T17" t="inlineStr">
        <is>
          <t>one tree with PD42190; colonies.tsv populated 2026-10-10 (100/100)</t>
        </is>
      </c>
    </row>
    <row r="18">
      <c r="A18" t="inlineStr">
        <is>
          <t>PD45887</t>
        </is>
      </c>
      <c r="B18" t="inlineStr">
        <is>
          <t>SDS6</t>
        </is>
      </c>
      <c r="C18" t="inlineStr">
        <is>
          <t>Machado 2023 Nat Commun (Shwachman-Diamond)</t>
        </is>
      </c>
      <c r="D18" t="inlineStr">
        <is>
          <t>TP53 clade</t>
        </is>
      </c>
      <c r="E18" t="inlineStr">
        <is>
          <t>E258K, G245S, I195F, R175H, V157F</t>
        </is>
      </c>
      <c r="F18" t="inlineStr">
        <is>
          <t>PD45887</t>
        </is>
      </c>
      <c r="G18" t="inlineStr">
        <is>
          <t>GRCh37</t>
        </is>
      </c>
      <c r="H18" t="n">
        <v>27</v>
      </c>
      <c r="I18" t="inlineStr">
        <is>
          <t>not run</t>
        </is>
      </c>
      <c r="J18" t="inlineStr"/>
      <c r="K18" t="inlineStr"/>
      <c r="L18" t="inlineStr">
        <is>
          <t>no</t>
        </is>
      </c>
      <c r="M18" t="inlineStr"/>
      <c r="N18" t="inlineStr"/>
      <c r="O18" t="inlineStr"/>
      <c r="P18" t="inlineStr"/>
      <c r="Q18" t="inlineStr"/>
      <c r="R18" t="inlineStr"/>
      <c r="S18" t="inlineStr">
        <is>
          <t>no</t>
        </is>
      </c>
      <c r="T18" t="inlineStr">
        <is>
          <t>tree added 2026-10-10 (zeros outgroup dropped); colonies.tsv populated 2026-10-10 (iRODS, all tips)</t>
        </is>
      </c>
    </row>
    <row r="19">
      <c r="A19" t="inlineStr">
        <is>
          <t>PD44706</t>
        </is>
      </c>
      <c r="B19" t="inlineStr">
        <is>
          <t>SDS7</t>
        </is>
      </c>
      <c r="C19" t="inlineStr">
        <is>
          <t>Machado 2023 Nat Commun (Shwachman-Diamond)</t>
        </is>
      </c>
      <c r="D19" t="inlineStr">
        <is>
          <t>TP53 clade</t>
        </is>
      </c>
      <c r="E19" t="inlineStr">
        <is>
          <t>C275Y, V272M, G245S, Y205F, H179Q, V173M</t>
        </is>
      </c>
      <c r="F19" t="inlineStr">
        <is>
          <t>PD44706</t>
        </is>
      </c>
      <c r="G19" t="inlineStr">
        <is>
          <t>GRCh37</t>
        </is>
      </c>
      <c r="H19" t="n">
        <v>35</v>
      </c>
      <c r="I19" t="inlineStr">
        <is>
          <t>done</t>
        </is>
      </c>
      <c r="J19" t="inlineStr">
        <is>
          <t>/lustre/scratch126/casm/teams/team273/users/jd43/hsc_foldback2/PD44706/PD44706</t>
        </is>
      </c>
      <c r="K19" t="inlineStr">
        <is>
          <t>1fcdc92 (annotate SV lift + PROVIRUS_LTR, somatic_table beta-binomial het gate)</t>
        </is>
      </c>
      <c r="L19" t="inlineStr">
        <is>
          <t>yes</t>
        </is>
      </c>
      <c r="M19" t="inlineStr">
        <is>
          <t>PD44706</t>
        </is>
      </c>
      <c r="N19" t="n">
        <v>60</v>
      </c>
      <c r="O19" t="inlineStr">
        <is>
          <t>4 / 3 / 53</t>
        </is>
      </c>
      <c r="P19" t="n">
        <v>30</v>
      </c>
      <c r="Q19" t="n">
        <v>0</v>
      </c>
      <c r="R19" t="inlineStr">
        <is>
          <t>not started</t>
        </is>
      </c>
      <c r="S19" t="inlineStr">
        <is>
          <t>no</t>
        </is>
      </c>
      <c r="T19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20">
      <c r="A20" t="inlineStr">
        <is>
          <t>PD42191</t>
        </is>
      </c>
      <c r="B20" t="inlineStr">
        <is>
          <t>SDS8</t>
        </is>
      </c>
      <c r="C20" t="inlineStr">
        <is>
          <t>Machado 2023 Nat Commun (Shwachman-Diamond)</t>
        </is>
      </c>
      <c r="D20" t="inlineStr">
        <is>
          <t>TP53 clade</t>
        </is>
      </c>
      <c r="E20" t="inlineStr">
        <is>
          <t>I254F+R248Q biallelic trunk (all 10 col)</t>
        </is>
      </c>
      <c r="F20" t="inlineStr">
        <is>
          <t>PD42191</t>
        </is>
      </c>
      <c r="G20" t="inlineStr">
        <is>
          <t>GRCh37</t>
        </is>
      </c>
      <c r="H20" t="n">
        <v>10</v>
      </c>
      <c r="I20" t="inlineStr">
        <is>
          <t>not run</t>
        </is>
      </c>
      <c r="J20" t="inlineStr"/>
      <c r="K20" t="inlineStr"/>
      <c r="L20" t="inlineStr">
        <is>
          <t>no</t>
        </is>
      </c>
      <c r="M20" t="inlineStr"/>
      <c r="N20" t="inlineStr"/>
      <c r="O20" t="inlineStr"/>
      <c r="P20" t="inlineStr"/>
      <c r="Q20" t="inlineStr"/>
      <c r="R20" t="inlineStr"/>
      <c r="S20" t="inlineStr">
        <is>
          <t>no</t>
        </is>
      </c>
      <c r="T20" t="inlineStr">
        <is>
          <t>tree added 2026-10-10 (zeros outgroup dropped); colonies.tsv populated 2026-10-10 (iRODS, all tips)</t>
        </is>
      </c>
    </row>
    <row r="21">
      <c r="A21" t="inlineStr">
        <is>
          <t>PD45886</t>
        </is>
      </c>
      <c r="B21" t="inlineStr">
        <is>
          <t>SDS10</t>
        </is>
      </c>
      <c r="C21" t="inlineStr">
        <is>
          <t>Machado 2023 Nat Commun (Shwachman-Diamond)</t>
        </is>
      </c>
      <c r="D21" t="inlineStr">
        <is>
          <t>TP53 clade</t>
        </is>
      </c>
      <c r="E21" t="inlineStr">
        <is>
          <t>H179Q (3)</t>
        </is>
      </c>
      <c r="F21" t="inlineStr">
        <is>
          <t>PD45886</t>
        </is>
      </c>
      <c r="G21" t="inlineStr">
        <is>
          <t>GRCh37</t>
        </is>
      </c>
      <c r="H21" t="n">
        <v>27</v>
      </c>
      <c r="I21" t="inlineStr">
        <is>
          <t>done</t>
        </is>
      </c>
      <c r="J21" t="inlineStr">
        <is>
          <t>/lustre/scratch126/casm/teams/team273/users/jd43/hsc_foldback2/PD45886/PD45886</t>
        </is>
      </c>
      <c r="K21" t="inlineStr">
        <is>
          <t>59f51a9 (combine fold-back strand fix; discovery reused from hsc_foldback ~5ed4f32); first run ~59b75b6</t>
        </is>
      </c>
      <c r="L21" t="inlineStr">
        <is>
          <t>yes</t>
        </is>
      </c>
      <c r="M21" t="inlineStr">
        <is>
          <t>PD45886_foldback2/PD45886</t>
        </is>
      </c>
      <c r="N21" t="n">
        <v>73</v>
      </c>
      <c r="O21" t="inlineStr">
        <is>
          <t>7 / 10 / 56</t>
        </is>
      </c>
      <c r="P21" t="n">
        <v>43</v>
      </c>
      <c r="Q21" t="n">
        <v>37</v>
      </c>
      <c r="R21" t="inlineStr">
        <is>
          <t>50 %</t>
        </is>
      </c>
      <c r="S21" t="inlineStr">
        <is>
          <t>no</t>
        </is>
      </c>
      <c r="T21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22">
      <c r="A22" t="inlineStr">
        <is>
          <t>PD54832</t>
        </is>
      </c>
      <c r="B22" t="inlineStr"/>
      <c r="C22" t="inlineStr">
        <is>
          <t>Leongamornlert 2026 Cancer Discov (TN-ET)</t>
        </is>
      </c>
      <c r="D22" t="inlineStr">
        <is>
          <t>TP53 clade</t>
        </is>
      </c>
      <c r="E22" t="inlineStr">
        <is>
          <t>S215N</t>
        </is>
      </c>
      <c r="F22" t="inlineStr">
        <is>
          <t>PD54832</t>
        </is>
      </c>
      <c r="G22" t="inlineStr">
        <is>
          <t>GRCh37</t>
        </is>
      </c>
      <c r="H22" t="n">
        <v>49</v>
      </c>
      <c r="I22" t="inlineStr">
        <is>
          <t>not run</t>
        </is>
      </c>
      <c r="J22" t="inlineStr"/>
      <c r="K22" t="inlineStr"/>
      <c r="L22" t="inlineStr">
        <is>
          <t>no</t>
        </is>
      </c>
      <c r="M22" t="inlineStr"/>
      <c r="N22" t="inlineStr"/>
      <c r="O22" t="inlineStr"/>
      <c r="P22" t="inlineStr"/>
      <c r="Q22" t="inlineStr"/>
      <c r="R22" t="inlineStr"/>
      <c r="S22" t="inlineStr">
        <is>
          <t>no</t>
        </is>
      </c>
      <c r="T22" t="inlineStr">
        <is>
          <t>tree added 2026-10-10 (zeros outgroup dropped); colonies.tsv populated 2026-10-10 (iRODS, all tips); tips renamed lo00NN -&gt; PD54832b_lo00NN; tissue folder (peripheral_blood) not verified</t>
        </is>
      </c>
    </row>
    <row r="23">
      <c r="A23" t="inlineStr">
        <is>
          <t>PD51635</t>
        </is>
      </c>
      <c r="B23" t="inlineStr"/>
      <c r="C23" t="inlineStr">
        <is>
          <t>Kamizela 2025 Nature (CML)</t>
        </is>
      </c>
      <c r="D23" t="inlineStr">
        <is>
          <t>TP53 clade; BCR::ABL1</t>
        </is>
      </c>
      <c r="E23" t="inlineStr">
        <is>
          <t>L130F (BCR::ABL1-negative colony)</t>
        </is>
      </c>
      <c r="F23" t="inlineStr">
        <is>
          <t>PD51635</t>
        </is>
      </c>
      <c r="G23" t="inlineStr">
        <is>
          <t>GRCh38</t>
        </is>
      </c>
      <c r="H23" t="n">
        <v>117</v>
      </c>
      <c r="I23" t="inlineStr">
        <is>
          <t>done</t>
        </is>
      </c>
      <c r="J23" t="inlineStr">
        <is>
          <t>/lustre/scratch126/casm/teams/team273/users/jd43/hsc/PD51635/PD51635</t>
        </is>
      </c>
      <c r="K23" t="inlineStr">
        <is>
          <t>~42d6e74 (inferred, hsc-deploy 2026-10-06); report 700ecf8</t>
        </is>
      </c>
      <c r="L23" t="inlineStr">
        <is>
          <t>yes</t>
        </is>
      </c>
      <c r="M23" t="inlineStr">
        <is>
          <t>PD51635</t>
        </is>
      </c>
      <c r="N23" t="n">
        <v>102</v>
      </c>
      <c r="O23" t="inlineStr">
        <is>
          <t>10 / 15 / 77</t>
        </is>
      </c>
      <c r="P23" t="inlineStr"/>
      <c r="Q23" t="n">
        <v>30</v>
      </c>
      <c r="R23" t="inlineStr">
        <is>
          <t>29 %</t>
        </is>
      </c>
      <c r="S23" t="inlineStr">
        <is>
          <t>no</t>
        </is>
      </c>
      <c r="T23" t="inlineStr">
        <is>
          <t>first HSC patient; review export in ~/Documents/hsc_results/PD51635/review_export</t>
        </is>
      </c>
    </row>
    <row r="24">
      <c r="A24" t="inlineStr">
        <is>
          <t>PD51632</t>
        </is>
      </c>
      <c r="B24" t="inlineStr"/>
      <c r="C24" t="inlineStr">
        <is>
          <t>Kamizela 2025 Nature (CML)</t>
        </is>
      </c>
      <c r="D24" t="inlineStr">
        <is>
          <t>BCR::ABL1</t>
        </is>
      </c>
      <c r="E24" t="inlineStr"/>
      <c r="F24" t="inlineStr">
        <is>
          <t>PD51632</t>
        </is>
      </c>
      <c r="G24" t="inlineStr">
        <is>
          <t>GRCh38</t>
        </is>
      </c>
      <c r="H24" t="n">
        <v>83</v>
      </c>
      <c r="I24" t="inlineStr">
        <is>
          <t>done</t>
        </is>
      </c>
      <c r="J24" t="inlineStr">
        <is>
          <t>/lustre/scratch126/casm/teams/team273/users/jd43/hsc_foldback2/PD51632/PD51632</t>
        </is>
      </c>
      <c r="K24" t="inlineStr">
        <is>
          <t>1fcdc92 (annotate SV lift + PROVIRUS_LTR, somatic_table beta-binomial het gate)</t>
        </is>
      </c>
      <c r="L24" t="inlineStr">
        <is>
          <t>yes</t>
        </is>
      </c>
      <c r="M24" t="inlineStr">
        <is>
          <t>PD51632</t>
        </is>
      </c>
      <c r="N24" t="n">
        <v>30</v>
      </c>
      <c r="O24" t="inlineStr">
        <is>
          <t>2 / 1 / 27</t>
        </is>
      </c>
      <c r="P24" t="n">
        <v>5</v>
      </c>
      <c r="Q24" t="n">
        <v>3</v>
      </c>
      <c r="R24" t="inlineStr">
        <is>
          <t>10 %</t>
        </is>
      </c>
      <c r="S24" t="inlineStr">
        <is>
          <t>no</t>
        </is>
      </c>
      <c r="T24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25">
      <c r="A25" t="inlineStr">
        <is>
          <t>PD51633</t>
        </is>
      </c>
      <c r="B25" t="inlineStr"/>
      <c r="C25" t="inlineStr">
        <is>
          <t>Kamizela 2025 Nature (CML)</t>
        </is>
      </c>
      <c r="D25" t="inlineStr">
        <is>
          <t>BCR::ABL1</t>
        </is>
      </c>
      <c r="E25" t="inlineStr"/>
      <c r="F25" t="inlineStr">
        <is>
          <t>PD51633</t>
        </is>
      </c>
      <c r="G25" t="inlineStr">
        <is>
          <t>GRCh38</t>
        </is>
      </c>
      <c r="H25" t="n">
        <v>81</v>
      </c>
      <c r="I25" t="inlineStr">
        <is>
          <t>done</t>
        </is>
      </c>
      <c r="J25" t="inlineStr">
        <is>
          <t>/lustre/scratch126/casm/teams/team273/users/jd43/hsc_foldback2/PD51633/PD51633</t>
        </is>
      </c>
      <c r="K25" t="inlineStr">
        <is>
          <t>1fcdc92 (annotate SV lift + PROVIRUS_LTR, somatic_table beta-binomial het gate)</t>
        </is>
      </c>
      <c r="L25" t="inlineStr">
        <is>
          <t>yes</t>
        </is>
      </c>
      <c r="M25" t="inlineStr">
        <is>
          <t>PD51633</t>
        </is>
      </c>
      <c r="N25" t="n">
        <v>23</v>
      </c>
      <c r="O25" t="inlineStr">
        <is>
          <t>1 / 2 / 20</t>
        </is>
      </c>
      <c r="P25" t="n">
        <v>13</v>
      </c>
      <c r="Q25" t="n">
        <v>2</v>
      </c>
      <c r="R25" t="inlineStr">
        <is>
          <t>8 %</t>
        </is>
      </c>
      <c r="S25" t="inlineStr">
        <is>
          <t>no</t>
        </is>
      </c>
      <c r="T25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26">
      <c r="A26" t="inlineStr">
        <is>
          <t>PD51634</t>
        </is>
      </c>
      <c r="B26" t="inlineStr"/>
      <c r="C26" t="inlineStr">
        <is>
          <t>Kamizela 2025 Nature (CML)</t>
        </is>
      </c>
      <c r="D26" t="inlineStr">
        <is>
          <t>BCR::ABL1</t>
        </is>
      </c>
      <c r="E26" t="inlineStr"/>
      <c r="F26" t="inlineStr">
        <is>
          <t>PD51634</t>
        </is>
      </c>
      <c r="G26" t="inlineStr">
        <is>
          <t>GRCh38</t>
        </is>
      </c>
      <c r="H26" t="n">
        <v>117</v>
      </c>
      <c r="I26" t="inlineStr">
        <is>
          <t>done</t>
        </is>
      </c>
      <c r="J26" t="inlineStr">
        <is>
          <t>/lustre/scratch126/casm/teams/team273/users/jd43/hsc_foldback2/PD51634/PD51634</t>
        </is>
      </c>
      <c r="K26" t="inlineStr">
        <is>
          <t>c72e5a6 (dense-filter removal + supp-twin exclusion in)</t>
        </is>
      </c>
      <c r="L26" t="inlineStr">
        <is>
          <t>yes</t>
        </is>
      </c>
      <c r="M26" t="inlineStr">
        <is>
          <t>PD51634</t>
        </is>
      </c>
      <c r="N26" t="n">
        <v>61</v>
      </c>
      <c r="O26" t="inlineStr">
        <is>
          <t>3 / 4 / 54</t>
        </is>
      </c>
      <c r="P26" t="n">
        <v>35</v>
      </c>
      <c r="Q26" t="n">
        <v>7</v>
      </c>
      <c r="R26" t="inlineStr">
        <is>
          <t>11 %</t>
        </is>
      </c>
      <c r="S26" t="inlineStr">
        <is>
          <t>no</t>
        </is>
      </c>
      <c r="T26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27">
      <c r="A27" t="inlineStr">
        <is>
          <t>PD56961</t>
        </is>
      </c>
      <c r="B27" t="inlineStr"/>
      <c r="C27" t="inlineStr">
        <is>
          <t>Kamizela 2025 Nature (CML)</t>
        </is>
      </c>
      <c r="D27" t="inlineStr">
        <is>
          <t>BCR::ABL1</t>
        </is>
      </c>
      <c r="E27" t="inlineStr"/>
      <c r="F27" t="inlineStr">
        <is>
          <t>PD56961</t>
        </is>
      </c>
      <c r="G27" t="inlineStr">
        <is>
          <t>GRCh38</t>
        </is>
      </c>
      <c r="H27" t="n">
        <v>163</v>
      </c>
      <c r="I27" t="inlineStr">
        <is>
          <t>done</t>
        </is>
      </c>
      <c r="J27" t="inlineStr">
        <is>
          <t>/lustre/scratch126/casm/teams/team273/users/jd43/hsc_foldback2/PD56961/PD56961</t>
        </is>
      </c>
      <c r="K27" t="inlineStr">
        <is>
          <t>3bb7d22 (fold-back strand fix in; predates fa616a2 supp-twin exclusion + 9626905 dense-filter removal)</t>
        </is>
      </c>
      <c r="L27" t="inlineStr">
        <is>
          <t>yes</t>
        </is>
      </c>
      <c r="M27" t="inlineStr">
        <is>
          <t>PD56961</t>
        </is>
      </c>
      <c r="N27" t="n">
        <v>20</v>
      </c>
      <c r="O27" t="inlineStr">
        <is>
          <t>5 / 3 / 12</t>
        </is>
      </c>
      <c r="P27" t="n">
        <v>32</v>
      </c>
      <c r="Q27" t="n">
        <v>16</v>
      </c>
      <c r="R27" t="inlineStr">
        <is>
          <t>80 %</t>
        </is>
      </c>
      <c r="S27" t="inlineStr">
        <is>
          <t>no</t>
        </is>
      </c>
      <c r="T27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28">
      <c r="A28" t="inlineStr">
        <is>
          <t>PD57332</t>
        </is>
      </c>
      <c r="B28" t="inlineStr"/>
      <c r="C28" t="inlineStr">
        <is>
          <t>Kamizela 2025 Nature (CML)</t>
        </is>
      </c>
      <c r="D28" t="inlineStr">
        <is>
          <t>BCR::ABL1</t>
        </is>
      </c>
      <c r="E28" t="inlineStr"/>
      <c r="F28" t="inlineStr">
        <is>
          <t>PD57332</t>
        </is>
      </c>
      <c r="G28" t="inlineStr">
        <is>
          <t>GRCh38</t>
        </is>
      </c>
      <c r="H28" t="n">
        <v>35</v>
      </c>
      <c r="I28" t="inlineStr">
        <is>
          <t>done</t>
        </is>
      </c>
      <c r="J28" t="inlineStr">
        <is>
          <t>/lustre/scratch126/casm/teams/team273/users/jd43/hsc_foldback2/PD57332/PD57332</t>
        </is>
      </c>
      <c r="K28" t="inlineStr">
        <is>
          <t>1fcdc92 (annotate SV lift + PROVIRUS_LTR, somatic_table beta-binomial het gate)</t>
        </is>
      </c>
      <c r="L28" t="inlineStr">
        <is>
          <t>yes</t>
        </is>
      </c>
      <c r="M28" t="inlineStr">
        <is>
          <t>PD57332</t>
        </is>
      </c>
      <c r="N28" t="n">
        <v>10</v>
      </c>
      <c r="O28" t="inlineStr">
        <is>
          <t>2 / 2 / 6</t>
        </is>
      </c>
      <c r="P28" t="n">
        <v>9</v>
      </c>
      <c r="Q28" t="n">
        <v>4</v>
      </c>
      <c r="R28" t="inlineStr">
        <is>
          <t>40 %</t>
        </is>
      </c>
      <c r="S28" t="inlineStr">
        <is>
          <t>no</t>
        </is>
      </c>
      <c r="T28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29">
      <c r="A29" t="inlineStr">
        <is>
          <t>PD57333</t>
        </is>
      </c>
      <c r="B29" t="inlineStr"/>
      <c r="C29" t="inlineStr">
        <is>
          <t>Kamizela 2025 Nature (CML)</t>
        </is>
      </c>
      <c r="D29" t="inlineStr">
        <is>
          <t>BCR::ABL1</t>
        </is>
      </c>
      <c r="E29" t="inlineStr"/>
      <c r="F29" t="inlineStr">
        <is>
          <t>PD57333</t>
        </is>
      </c>
      <c r="G29" t="inlineStr">
        <is>
          <t>GRCh38</t>
        </is>
      </c>
      <c r="H29" t="n">
        <v>75</v>
      </c>
      <c r="I29" t="inlineStr">
        <is>
          <t>done (results not yet copied)</t>
        </is>
      </c>
      <c r="J29" t="inlineStr">
        <is>
          <t>/lustre/scratch126/casm/teams/team273/users/jd43/hsc_foldback2/PD57333/PD57333</t>
        </is>
      </c>
      <c r="K29" t="inlineStr">
        <is>
          <t>1fcdc92 (annotate SV lift + PROVIRUS_LTR, somatic_table beta-binomial het gate)</t>
        </is>
      </c>
      <c r="L29" t="inlineStr">
        <is>
          <t>partial</t>
        </is>
      </c>
      <c r="M29" t="inlineStr">
        <is>
          <t>PD57333</t>
        </is>
      </c>
      <c r="N29" t="inlineStr"/>
      <c r="O29" t="inlineStr"/>
      <c r="P29" t="inlineStr"/>
      <c r="Q29" t="inlineStr"/>
      <c r="R29" t="inlineStr">
        <is>
          <t>no somatic table</t>
        </is>
      </c>
      <c r="S29" t="inlineStr">
        <is>
          <t>no</t>
        </is>
      </c>
      <c r="T29" t="inlineStr">
        <is>
          <t>submitted ~2026-10-13 (job IDs not recorded); done 2026-10-15, results in /nfs/users/nfs_j/jd43/results/hsc_foldback2/PD57333; 75/75 colonies GRCh38</t>
        </is>
      </c>
    </row>
    <row r="30">
      <c r="A30" t="inlineStr">
        <is>
          <t>PD57334</t>
        </is>
      </c>
      <c r="B30" t="inlineStr"/>
      <c r="C30" t="inlineStr">
        <is>
          <t>Kamizela 2025 Nature (CML)</t>
        </is>
      </c>
      <c r="D30" t="inlineStr">
        <is>
          <t>BCR::ABL1</t>
        </is>
      </c>
      <c r="E30" t="inlineStr"/>
      <c r="F30" t="inlineStr">
        <is>
          <t>PD57334</t>
        </is>
      </c>
      <c r="G30" t="inlineStr">
        <is>
          <t>GRCh38</t>
        </is>
      </c>
      <c r="H30" t="n">
        <v>55</v>
      </c>
      <c r="I30" t="inlineStr">
        <is>
          <t>done (results not yet copied)</t>
        </is>
      </c>
      <c r="J30" t="inlineStr">
        <is>
          <t>/lustre/scratch126/casm/teams/team273/users/jd43/hsc_foldback2/PD57334/PD57334</t>
        </is>
      </c>
      <c r="K30" t="inlineStr">
        <is>
          <t>1fcdc92 (annotate SV lift + PROVIRUS_LTR, somatic_table beta-binomial het gate)</t>
        </is>
      </c>
      <c r="L30" t="inlineStr">
        <is>
          <t>no</t>
        </is>
      </c>
      <c r="M30" t="inlineStr"/>
      <c r="N30" t="inlineStr"/>
      <c r="O30" t="inlineStr"/>
      <c r="P30" t="inlineStr"/>
      <c r="Q30" t="inlineStr"/>
      <c r="R30" t="inlineStr"/>
      <c r="S30" t="inlineStr">
        <is>
          <t>no</t>
        </is>
      </c>
      <c r="T30" t="inlineStr">
        <is>
          <t>submitted ~2026-10-13 (job IDs not recorded); done 2026-10-15, results in /nfs/users/nfs_j/jd43/results/hsc_foldback2/PD57334; 55/55 colonies GRCh38</t>
        </is>
      </c>
    </row>
    <row r="31">
      <c r="A31" t="inlineStr">
        <is>
          <t>PD57335</t>
        </is>
      </c>
      <c r="B31" t="inlineStr"/>
      <c r="C31" t="inlineStr">
        <is>
          <t>Kamizela 2025 Nature (CML)</t>
        </is>
      </c>
      <c r="D31" t="inlineStr">
        <is>
          <t>BCR::ABL1</t>
        </is>
      </c>
      <c r="E31" t="inlineStr"/>
      <c r="F31" t="inlineStr">
        <is>
          <t>PD57335</t>
        </is>
      </c>
      <c r="G31" t="inlineStr">
        <is>
          <t>GRCh38</t>
        </is>
      </c>
      <c r="H31" t="n">
        <v>102</v>
      </c>
      <c r="I31" t="inlineStr">
        <is>
          <t>running</t>
        </is>
      </c>
      <c r="J31" t="inlineStr">
        <is>
          <t>/lustre/scratch126/casm/teams/team273/users/jd43/hsc_foldback2/PD57335/PD57335</t>
        </is>
      </c>
      <c r="K31" t="inlineStr">
        <is>
          <t>1fcdc92 (annotate SV lift + PROVIRUS_LTR, somatic_table beta-binomial het gate)</t>
        </is>
      </c>
      <c r="L31" t="inlineStr">
        <is>
          <t>no</t>
        </is>
      </c>
      <c r="M31" t="inlineStr"/>
      <c r="N31" t="inlineStr"/>
      <c r="O31" t="inlineStr"/>
      <c r="P31" t="inlineStr"/>
      <c r="Q31" t="inlineStr"/>
      <c r="R31" t="inlineStr"/>
      <c r="S31" t="inlineStr">
        <is>
          <t>no</t>
        </is>
      </c>
      <c r="T31" t="inlineStr">
        <is>
          <t>submitted 2026-10-15 (job IDs not recorded), results -&gt; /nfs/users/nfs_j/jd43/results/hsc_foldback2/PD57335; 102/102 colonies GRCh38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2026-10-15T04:24:47Z</dcterms:created>
  <dcterms:modified xmlns:dcterms="http://purl.org/dc/terms/" xmlns:xsi="http://www.w3.org/2001/XMLSchema-instance" xsi:type="dcterms:W3CDTF">2026-10-15T04:24:47Z</dcterms:modified>
</cp:coreProperties>
</file>