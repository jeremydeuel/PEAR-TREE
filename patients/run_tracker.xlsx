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20</v>
      </c>
      <c r="O2" s="2" t="inlineStr">
        <is>
          <t>1 / 2 / 17</t>
        </is>
      </c>
      <c r="P2" s="2" t="inlineStr"/>
      <c r="Q2" s="2" t="n">
        <v>6</v>
      </c>
      <c r="R2" s="2" t="inlineStr">
        <is>
          <t>30 %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5" t="inlineStr">
        <is>
          <t>not run</t>
        </is>
      </c>
      <c r="J3" s="2" t="inlineStr"/>
      <c r="K3" s="2" t="inlineStr"/>
      <c r="L3" s="5" t="inlineStr">
        <is>
          <t>no</t>
        </is>
      </c>
      <c r="M3" s="2" t="inlineStr"/>
      <c r="N3" s="2" t="inlineStr"/>
      <c r="O3" s="2" t="inlineStr"/>
      <c r="P3" s="2" t="inlineStr"/>
      <c r="Q3" s="2" t="inlineStr"/>
      <c r="R3" s="2" t="inlineStr"/>
      <c r="S3" s="5" t="inlineStr">
        <is>
          <t>no</t>
        </is>
      </c>
      <c r="T3" s="3" t="inlineStr">
        <is>
          <t>old-pipeline results only (~/Documents/retrotransposons_sanger/results/PD47703)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5" t="inlineStr">
        <is>
          <t>not run</t>
        </is>
      </c>
      <c r="J4" s="2" t="inlineStr"/>
      <c r="K4" s="2" t="inlineStr"/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5" t="inlineStr">
        <is>
          <t>not run</t>
        </is>
      </c>
      <c r="J5" s="2" t="inlineStr"/>
      <c r="K5" s="2" t="inlineStr"/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/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5" t="inlineStr">
        <is>
          <t>not run</t>
        </is>
      </c>
      <c r="J6" s="2" t="inlineStr"/>
      <c r="K6" s="2" t="inlineStr"/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/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5" t="inlineStr">
        <is>
          <t>not run</t>
        </is>
      </c>
      <c r="J7" s="2" t="inlineStr"/>
      <c r="K7" s="2" t="inlineStr"/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/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5" t="inlineStr">
        <is>
          <t>not run</t>
        </is>
      </c>
      <c r="J8" s="2" t="inlineStr"/>
      <c r="K8" s="2" t="inlineStr"/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/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5" t="inlineStr">
        <is>
          <t>not run</t>
        </is>
      </c>
      <c r="J9" s="2" t="inlineStr"/>
      <c r="K9" s="2" t="inlineStr"/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/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5" t="inlineStr">
        <is>
          <t>not run</t>
        </is>
      </c>
      <c r="J10" s="2" t="inlineStr"/>
      <c r="K10" s="2" t="inlineStr"/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/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5" t="inlineStr">
        <is>
          <t>not run</t>
        </is>
      </c>
      <c r="J11" s="2" t="inlineStr"/>
      <c r="K11" s="2" t="inlineStr"/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/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5" t="inlineStr">
        <is>
          <t>not run</t>
        </is>
      </c>
      <c r="J12" s="2" t="inlineStr"/>
      <c r="K12" s="2" t="inlineStr"/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/>
    </row>
    <row r="13">
      <c r="A13" s="2" t="inlineStr">
        <is>
          <t>PD49229</t>
        </is>
      </c>
      <c r="B13" s="2" t="inlineStr">
        <is>
          <t>BCL002 (SCD4)</t>
        </is>
      </c>
      <c r="C13" s="2" t="inlineStr">
        <is>
          <t>Spencer Chapman 2023 Nat Med (SCD gene therapy)</t>
        </is>
      </c>
      <c r="D13" s="2" t="inlineStr">
        <is>
          <t>TP53 clade</t>
        </is>
      </c>
      <c r="E13" s="3" t="inlineStr">
        <is>
          <t>R273H</t>
        </is>
      </c>
      <c r="F13" s="2" t="inlineStr">
        <is>
          <t>PD49229</t>
        </is>
      </c>
      <c r="G13" s="2" t="inlineStr">
        <is>
          <t>GRCh37</t>
        </is>
      </c>
      <c r="H13" s="2" t="n">
        <v>722</v>
      </c>
      <c r="I13" s="6" t="inlineStr">
        <is>
          <t>report incomplete</t>
        </is>
      </c>
      <c r="J13" s="2" t="inlineStr">
        <is>
          <t>/lustre/scratch126/casm/teams/team273/users/jd43/hsc/PD49229/PD49229</t>
        </is>
      </c>
      <c r="K13" s="2" t="inlineStr">
        <is>
          <t>~7d9e241 (inferred, hsc-deploy 2026-10-07); annotate rerun on 59b75b6 (Rust RTE)</t>
        </is>
      </c>
      <c r="L13" s="6" t="inlineStr">
        <is>
          <t>partial</t>
        </is>
      </c>
      <c r="M13" s="2" t="inlineStr">
        <is>
          <t>PD49229</t>
        </is>
      </c>
      <c r="N13" s="2" t="inlineStr"/>
      <c r="O13" s="2" t="inlineStr"/>
      <c r="P13" s="2" t="inlineStr"/>
      <c r="Q13" s="2" t="inlineStr"/>
      <c r="R13" s="2" t="inlineStr">
        <is>
          <t>no somatic table</t>
        </is>
      </c>
      <c r="S13" s="5" t="inlineStr">
        <is>
          <t>no</t>
        </is>
      </c>
      <c r="T13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s="2" t="inlineStr">
        <is>
          <t>PD43975</t>
        </is>
      </c>
      <c r="B14" s="2" t="inlineStr">
        <is>
          <t>SDS2</t>
        </is>
      </c>
      <c r="C14" s="2" t="inlineStr">
        <is>
          <t>Machado 2023 Nat Commun (Shwachman-Diamond)</t>
        </is>
      </c>
      <c r="D14" s="2" t="inlineStr">
        <is>
          <t>TP53 clade</t>
        </is>
      </c>
      <c r="E14" s="3" t="inlineStr">
        <is>
          <t>C141Y</t>
        </is>
      </c>
      <c r="F14" s="2" t="inlineStr">
        <is>
          <t>PD43975</t>
        </is>
      </c>
      <c r="G14" s="2" t="inlineStr">
        <is>
          <t>GRCh37</t>
        </is>
      </c>
      <c r="H14" s="2" t="n">
        <v>38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tree added 2026-10-10 (zeros outgroup dropped); colonies.tsv populated 2026-10-10 (iRODS, all tips)</t>
        </is>
      </c>
    </row>
    <row r="15">
      <c r="A15" s="2" t="inlineStr">
        <is>
          <t>PD43293</t>
        </is>
      </c>
      <c r="B15" s="2" t="inlineStr">
        <is>
          <t>SDS4</t>
        </is>
      </c>
      <c r="C15" s="2" t="inlineStr">
        <is>
          <t>Machado 2023 Nat Commun (Shwachman-Diamond)</t>
        </is>
      </c>
      <c r="D15" s="2" t="inlineStr">
        <is>
          <t>TP53 clade</t>
        </is>
      </c>
      <c r="E15" s="3" t="inlineStr">
        <is>
          <t>R273L</t>
        </is>
      </c>
      <c r="F15" s="2" t="inlineStr">
        <is>
          <t>PD43293</t>
        </is>
      </c>
      <c r="G15" s="2" t="inlineStr">
        <is>
          <t>GRCh37</t>
        </is>
      </c>
      <c r="H15" s="2" t="n">
        <v>18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tree added 2026-10-10 (zeros outgroup dropped); colonies.tsv populated 2026-10-10 (iRODS, all tips)</t>
        </is>
      </c>
    </row>
    <row r="16">
      <c r="A16" s="2" t="inlineStr">
        <is>
          <t>PD42190</t>
        </is>
      </c>
      <c r="B16" s="2" t="inlineStr">
        <is>
          <t>SDS5 (timepoint 1)</t>
        </is>
      </c>
      <c r="C16" s="2" t="inlineStr">
        <is>
          <t>Machado 2023 Nat Commun (Shwachman-Diamond)</t>
        </is>
      </c>
      <c r="D16" s="2" t="inlineStr">
        <is>
          <t>TP53 clade</t>
        </is>
      </c>
      <c r="E16" s="3" t="inlineStr">
        <is>
          <t>R248W (3), A159V (2), P151S (2) + 5 single</t>
        </is>
      </c>
      <c r="F16" s="2" t="inlineStr">
        <is>
          <t>SDS5_PD42190_PD45888</t>
        </is>
      </c>
      <c r="G16" s="2" t="inlineStr">
        <is>
          <t>GRCh37</t>
        </is>
      </c>
      <c r="H16" s="2" t="n">
        <v>48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one tree with PD45888; colonies.tsv populated 2026-10-10 (100/100)</t>
        </is>
      </c>
    </row>
    <row r="17">
      <c r="A17" s="2" t="inlineStr">
        <is>
          <t>PD45888</t>
        </is>
      </c>
      <c r="B17" s="2" t="inlineStr">
        <is>
          <t>SDS5 (timepoint 2)</t>
        </is>
      </c>
      <c r="C17" s="2" t="inlineStr">
        <is>
          <t>Machado 2023 Nat Commun (Shwachman-Diamond)</t>
        </is>
      </c>
      <c r="D17" s="2" t="inlineStr">
        <is>
          <t>TP53 clade</t>
        </is>
      </c>
      <c r="E17" s="3" t="inlineStr">
        <is>
          <t>(shared SDS5 tree)</t>
        </is>
      </c>
      <c r="F17" s="2" t="inlineStr">
        <is>
          <t>SDS5_PD42190_PD45888</t>
        </is>
      </c>
      <c r="G17" s="2" t="inlineStr">
        <is>
          <t>GRCh37</t>
        </is>
      </c>
      <c r="H17" s="2" t="n">
        <v>52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one tree with PD42190; colonies.tsv populated 2026-10-10 (100/100)</t>
        </is>
      </c>
    </row>
    <row r="18">
      <c r="A18" s="2" t="inlineStr">
        <is>
          <t>PD45887</t>
        </is>
      </c>
      <c r="B18" s="2" t="inlineStr">
        <is>
          <t>SDS6</t>
        </is>
      </c>
      <c r="C18" s="2" t="inlineStr">
        <is>
          <t>Machado 2023 Nat Commun (Shwachman-Diamond)</t>
        </is>
      </c>
      <c r="D18" s="2" t="inlineStr">
        <is>
          <t>TP53 clade</t>
        </is>
      </c>
      <c r="E18" s="3" t="inlineStr">
        <is>
          <t>E258K, G245S, I195F, R175H, V157F</t>
        </is>
      </c>
      <c r="F18" s="2" t="inlineStr">
        <is>
          <t>PD45887</t>
        </is>
      </c>
      <c r="G18" s="2" t="inlineStr">
        <is>
          <t>GRCh37</t>
        </is>
      </c>
      <c r="H18" s="2" t="n">
        <v>27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tree added 2026-10-10 (zeros outgroup dropped); colonies.tsv populated 2026-10-10 (iRODS, all tips)</t>
        </is>
      </c>
    </row>
    <row r="19">
      <c r="A19" s="2" t="inlineStr">
        <is>
          <t>PD44706</t>
        </is>
      </c>
      <c r="B19" s="2" t="inlineStr">
        <is>
          <t>SDS7</t>
        </is>
      </c>
      <c r="C19" s="2" t="inlineStr">
        <is>
          <t>Machado 2023 Nat Commun (Shwachman-Diamond)</t>
        </is>
      </c>
      <c r="D19" s="2" t="inlineStr">
        <is>
          <t>TP53 clade</t>
        </is>
      </c>
      <c r="E19" s="3" t="inlineStr">
        <is>
          <t>C275Y, V272M, G245S, Y205F, H179Q, V173M</t>
        </is>
      </c>
      <c r="F19" s="2" t="inlineStr">
        <is>
          <t>PD44706</t>
        </is>
      </c>
      <c r="G19" s="2" t="inlineStr">
        <is>
          <t>GRCh37</t>
        </is>
      </c>
      <c r="H19" s="2" t="n">
        <v>35</v>
      </c>
      <c r="I19" s="5" t="inlineStr">
        <is>
          <t>not run</t>
        </is>
      </c>
      <c r="J19" s="2" t="inlineStr"/>
      <c r="K19" s="2" t="inlineStr"/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tree added 2026-10-10 (zeros outgroup dropped); colonies.tsv populated 2026-10-10 (iRODS, all tips)</t>
        </is>
      </c>
    </row>
    <row r="20">
      <c r="A20" s="2" t="inlineStr">
        <is>
          <t>PD42191</t>
        </is>
      </c>
      <c r="B20" s="2" t="inlineStr">
        <is>
          <t>SDS8</t>
        </is>
      </c>
      <c r="C20" s="2" t="inlineStr">
        <is>
          <t>Machado 2023 Nat Commun (Shwachman-Diamond)</t>
        </is>
      </c>
      <c r="D20" s="2" t="inlineStr">
        <is>
          <t>TP53 clade</t>
        </is>
      </c>
      <c r="E20" s="3" t="inlineStr">
        <is>
          <t>I254F+R248Q biallelic trunk (all 10 col)</t>
        </is>
      </c>
      <c r="F20" s="2" t="inlineStr">
        <is>
          <t>PD42191</t>
        </is>
      </c>
      <c r="G20" s="2" t="inlineStr">
        <is>
          <t>GRCh37</t>
        </is>
      </c>
      <c r="H20" s="2" t="n">
        <v>10</v>
      </c>
      <c r="I20" s="5" t="inlineStr">
        <is>
          <t>not run</t>
        </is>
      </c>
      <c r="J20" s="2" t="inlineStr"/>
      <c r="K20" s="2" t="inlineStr"/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tree added 2026-10-10 (zeros outgroup dropped); colonies.tsv populated 2026-10-10 (iRODS, all tips)</t>
        </is>
      </c>
    </row>
    <row r="21">
      <c r="A21" s="2" t="inlineStr">
        <is>
          <t>PD45886</t>
        </is>
      </c>
      <c r="B21" s="2" t="inlineStr">
        <is>
          <t>SDS10</t>
        </is>
      </c>
      <c r="C21" s="2" t="inlineStr">
        <is>
          <t>Machado 2023 Nat Commun (Shwachman-Diamond)</t>
        </is>
      </c>
      <c r="D21" s="2" t="inlineStr">
        <is>
          <t>TP53 clade</t>
        </is>
      </c>
      <c r="E21" s="3" t="inlineStr">
        <is>
          <t>H179Q (3)</t>
        </is>
      </c>
      <c r="F21" s="2" t="inlineStr">
        <is>
          <t>PD45886</t>
        </is>
      </c>
      <c r="G21" s="2" t="inlineStr">
        <is>
          <t>GRCh37</t>
        </is>
      </c>
      <c r="H21" s="2" t="n">
        <v>27</v>
      </c>
      <c r="I21" s="4" t="inlineStr">
        <is>
          <t>done</t>
        </is>
      </c>
      <c r="J21" s="2" t="inlineStr">
        <is>
          <t>/lustre/scratch126/casm/teams/team273/users/jd43/hsc_foldback2/PD45886/PD45886</t>
        </is>
      </c>
      <c r="K21" s="2" t="inlineStr">
        <is>
          <t>59f51a9 (combine fold-back strand fix; discovery reused from hsc_foldback ~5ed4f32); first run ~59b75b6</t>
        </is>
      </c>
      <c r="L21" s="4" t="inlineStr">
        <is>
          <t>yes</t>
        </is>
      </c>
      <c r="M21" s="2" t="inlineStr">
        <is>
          <t>PD45886_foldback2/PD45886</t>
        </is>
      </c>
      <c r="N21" s="2" t="n">
        <v>73</v>
      </c>
      <c r="O21" s="2" t="inlineStr">
        <is>
          <t>7 / 10 / 56</t>
        </is>
      </c>
      <c r="P21" s="2" t="n">
        <v>43</v>
      </c>
      <c r="Q21" s="2" t="n">
        <v>37</v>
      </c>
      <c r="R21" s="2" t="inlineStr">
        <is>
          <t>50 %</t>
        </is>
      </c>
      <c r="S21" s="5" t="inlineStr">
        <is>
          <t>no</t>
        </is>
      </c>
      <c r="T21" s="3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s="2" t="inlineStr">
        <is>
          <t>PD54832</t>
        </is>
      </c>
      <c r="B22" s="2" t="inlineStr"/>
      <c r="C22" s="2" t="inlineStr">
        <is>
          <t>Leongamornlert 2026 Cancer Discov (TN-ET)</t>
        </is>
      </c>
      <c r="D22" s="2" t="inlineStr">
        <is>
          <t>TP53 clade</t>
        </is>
      </c>
      <c r="E22" s="3" t="inlineStr">
        <is>
          <t>S215N</t>
        </is>
      </c>
      <c r="F22" s="2" t="inlineStr">
        <is>
          <t>PD54832</t>
        </is>
      </c>
      <c r="G22" s="2" t="inlineStr">
        <is>
          <t>GRCh37</t>
        </is>
      </c>
      <c r="H22" s="2" t="n">
        <v>49</v>
      </c>
      <c r="I22" s="5" t="inlineStr">
        <is>
          <t>not run</t>
        </is>
      </c>
      <c r="J22" s="2" t="inlineStr"/>
      <c r="K22" s="2" t="inlineStr"/>
      <c r="L22" s="5" t="inlineStr">
        <is>
          <t>no</t>
        </is>
      </c>
      <c r="M22" s="2" t="inlineStr"/>
      <c r="N22" s="2" t="inlineStr"/>
      <c r="O22" s="2" t="inlineStr"/>
      <c r="P22" s="2" t="inlineStr"/>
      <c r="Q22" s="2" t="inlineStr"/>
      <c r="R22" s="2" t="inlineStr"/>
      <c r="S22" s="5" t="inlineStr">
        <is>
          <t>no</t>
        </is>
      </c>
      <c r="T22" s="3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s="2" t="inlineStr">
        <is>
          <t>PD51635</t>
        </is>
      </c>
      <c r="B23" s="2" t="inlineStr"/>
      <c r="C23" s="2" t="inlineStr">
        <is>
          <t>Kamizela 2025 Nature (CML)</t>
        </is>
      </c>
      <c r="D23" s="2" t="inlineStr">
        <is>
          <t>TP53 clade; BCR::ABL1</t>
        </is>
      </c>
      <c r="E23" s="3" t="inlineStr">
        <is>
          <t>L130F (BCR::ABL1-negative colony)</t>
        </is>
      </c>
      <c r="F23" s="2" t="inlineStr">
        <is>
          <t>PD51635</t>
        </is>
      </c>
      <c r="G23" s="2" t="inlineStr">
        <is>
          <t>GRCh38</t>
        </is>
      </c>
      <c r="H23" s="2" t="n">
        <v>117</v>
      </c>
      <c r="I23" s="4" t="inlineStr">
        <is>
          <t>done</t>
        </is>
      </c>
      <c r="J23" s="2" t="inlineStr">
        <is>
          <t>/lustre/scratch126/casm/teams/team273/users/jd43/hsc/PD51635/PD51635</t>
        </is>
      </c>
      <c r="K23" s="2" t="inlineStr">
        <is>
          <t>~42d6e74 (inferred, hsc-deploy 2026-10-06); report 700ecf8</t>
        </is>
      </c>
      <c r="L23" s="4" t="inlineStr">
        <is>
          <t>yes</t>
        </is>
      </c>
      <c r="M23" s="2" t="inlineStr">
        <is>
          <t>PD51635</t>
        </is>
      </c>
      <c r="N23" s="2" t="n">
        <v>102</v>
      </c>
      <c r="O23" s="2" t="inlineStr">
        <is>
          <t>10 / 15 / 77</t>
        </is>
      </c>
      <c r="P23" s="2" t="inlineStr"/>
      <c r="Q23" s="2" t="n">
        <v>30</v>
      </c>
      <c r="R23" s="2" t="inlineStr">
        <is>
          <t>29 %</t>
        </is>
      </c>
      <c r="S23" s="5" t="inlineStr">
        <is>
          <t>no</t>
        </is>
      </c>
      <c r="T23" s="3" t="inlineStr">
        <is>
          <t>first HSC patient; review export in ~/Documents/hsc_results/PD51635/review_export</t>
        </is>
      </c>
    </row>
    <row r="24">
      <c r="A24" s="2" t="inlineStr">
        <is>
          <t>PD51632</t>
        </is>
      </c>
      <c r="B24" s="2" t="inlineStr"/>
      <c r="C24" s="2" t="inlineStr">
        <is>
          <t>Kamizela 2025 Nature (CML)</t>
        </is>
      </c>
      <c r="D24" s="2" t="inlineStr">
        <is>
          <t>BCR::ABL1</t>
        </is>
      </c>
      <c r="E24" s="3" t="inlineStr"/>
      <c r="F24" s="2" t="inlineStr">
        <is>
          <t>PD51632</t>
        </is>
      </c>
      <c r="G24" s="2" t="inlineStr">
        <is>
          <t>GRCh38</t>
        </is>
      </c>
      <c r="H24" s="2" t="n">
        <v>83</v>
      </c>
      <c r="I24" s="5" t="inlineStr">
        <is>
          <t>not run</t>
        </is>
      </c>
      <c r="J24" s="2" t="inlineStr"/>
      <c r="K24" s="2" t="inlineStr"/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/>
    </row>
    <row r="25">
      <c r="A25" s="2" t="inlineStr">
        <is>
          <t>PD51633</t>
        </is>
      </c>
      <c r="B25" s="2" t="inlineStr"/>
      <c r="C25" s="2" t="inlineStr">
        <is>
          <t>Kamizela 2025 Nature (CML)</t>
        </is>
      </c>
      <c r="D25" s="2" t="inlineStr">
        <is>
          <t>BCR::ABL1</t>
        </is>
      </c>
      <c r="E25" s="3" t="inlineStr"/>
      <c r="F25" s="2" t="inlineStr">
        <is>
          <t>PD51633</t>
        </is>
      </c>
      <c r="G25" s="2" t="inlineStr">
        <is>
          <t>GRCh38</t>
        </is>
      </c>
      <c r="H25" s="2" t="n">
        <v>81</v>
      </c>
      <c r="I25" s="5" t="inlineStr">
        <is>
          <t>not run</t>
        </is>
      </c>
      <c r="J25" s="2" t="inlineStr"/>
      <c r="K25" s="2" t="inlineStr"/>
      <c r="L25" s="5" t="inlineStr">
        <is>
          <t>no</t>
        </is>
      </c>
      <c r="M25" s="2" t="inlineStr"/>
      <c r="N25" s="2" t="inlineStr"/>
      <c r="O25" s="2" t="inlineStr"/>
      <c r="P25" s="2" t="inlineStr"/>
      <c r="Q25" s="2" t="inlineStr"/>
      <c r="R25" s="2" t="inlineStr"/>
      <c r="S25" s="5" t="inlineStr">
        <is>
          <t>no</t>
        </is>
      </c>
      <c r="T25" s="3" t="inlineStr"/>
    </row>
    <row r="26">
      <c r="A26" s="2" t="inlineStr">
        <is>
          <t>PD51634</t>
        </is>
      </c>
      <c r="B26" s="2" t="inlineStr"/>
      <c r="C26" s="2" t="inlineStr">
        <is>
          <t>Kamizela 2025 Nature (CML)</t>
        </is>
      </c>
      <c r="D26" s="2" t="inlineStr">
        <is>
          <t>BCR::ABL1</t>
        </is>
      </c>
      <c r="E26" s="3" t="inlineStr"/>
      <c r="F26" s="2" t="inlineStr">
        <is>
          <t>PD51634</t>
        </is>
      </c>
      <c r="G26" s="2" t="inlineStr">
        <is>
          <t>GRCh38</t>
        </is>
      </c>
      <c r="H26" s="2" t="n">
        <v>117</v>
      </c>
      <c r="I26" s="6" t="inlineStr">
        <is>
          <t>running</t>
        </is>
      </c>
      <c r="J26" s="2" t="inlineStr">
        <is>
          <t>/lustre/scratch126/casm/teams/team273/users/jd43/hsc_foldback2/PD51634/PD51634</t>
        </is>
      </c>
      <c r="K26" s="2" t="inlineStr">
        <is>
          <t>c72e5a6 (dense-filter removal + supp-twin exclusion in)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submitted 2026-10-11 08:16, LSF jobs 915507-915515, results -&gt; /nfs/users/nfs_j/jd43/results/hsc_foldback2/PD51634; 117/123 tips have a BAM: PD51634b (bulk?) and ch_lo0003/0007/0013/0026/0030 missing from the iRODS populate, run without them</t>
        </is>
      </c>
    </row>
    <row r="27">
      <c r="A27" s="2" t="inlineStr">
        <is>
          <t>PD56961</t>
        </is>
      </c>
      <c r="B27" s="2" t="inlineStr"/>
      <c r="C27" s="2" t="inlineStr">
        <is>
          <t>Kamizela 2025 Nature (CML)</t>
        </is>
      </c>
      <c r="D27" s="2" t="inlineStr">
        <is>
          <t>BCR::ABL1</t>
        </is>
      </c>
      <c r="E27" s="3" t="inlineStr"/>
      <c r="F27" s="2" t="inlineStr">
        <is>
          <t>PD56961</t>
        </is>
      </c>
      <c r="G27" s="2" t="inlineStr">
        <is>
          <t>GRCh38</t>
        </is>
      </c>
      <c r="H27" s="2" t="n">
        <v>163</v>
      </c>
      <c r="I27" s="4" t="inlineStr">
        <is>
          <t>done</t>
        </is>
      </c>
      <c r="J27" s="2" t="inlineStr">
        <is>
          <t>/lustre/scratch126/casm/teams/team273/users/jd43/hsc_foldback2/PD56961/PD56961</t>
        </is>
      </c>
      <c r="K27" s="2" t="inlineStr">
        <is>
          <t>3bb7d22 (fold-back strand fix in; predates fa616a2 supp-twin exclusion + 9626905 dense-filter removal)</t>
        </is>
      </c>
      <c r="L27" s="4" t="inlineStr">
        <is>
          <t>yes</t>
        </is>
      </c>
      <c r="M27" s="2" t="inlineStr">
        <is>
          <t>PD56961</t>
        </is>
      </c>
      <c r="N27" s="2" t="n">
        <v>20</v>
      </c>
      <c r="O27" s="2" t="inlineStr">
        <is>
          <t>5 / 3 / 12</t>
        </is>
      </c>
      <c r="P27" s="2" t="n">
        <v>32</v>
      </c>
      <c r="Q27" s="2" t="n">
        <v>0</v>
      </c>
      <c r="R27" s="5" t="inlineStr">
        <is>
          <t>not started</t>
        </is>
      </c>
      <c r="S27" s="5" t="inlineStr">
        <is>
          <t>no</t>
        </is>
      </c>
      <c r="T2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s="2" t="inlineStr">
        <is>
          <t>PD57332</t>
        </is>
      </c>
      <c r="B28" s="2" t="inlineStr"/>
      <c r="C28" s="2" t="inlineStr">
        <is>
          <t>Kamizela 2025 Nature (CML)</t>
        </is>
      </c>
      <c r="D28" s="2" t="inlineStr">
        <is>
          <t>BCR::ABL1</t>
        </is>
      </c>
      <c r="E28" s="3" t="inlineStr"/>
      <c r="F28" s="2" t="inlineStr">
        <is>
          <t>PD57332</t>
        </is>
      </c>
      <c r="G28" s="2" t="inlineStr">
        <is>
          <t>GRCh38</t>
        </is>
      </c>
      <c r="H28" s="2" t="n">
        <v>35</v>
      </c>
      <c r="I28" s="5" t="inlineStr">
        <is>
          <t>not run</t>
        </is>
      </c>
      <c r="J28" s="2" t="inlineStr"/>
      <c r="K28" s="2" t="inlineStr"/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/>
    </row>
    <row r="29">
      <c r="A29" s="2" t="inlineStr">
        <is>
          <t>PD57333</t>
        </is>
      </c>
      <c r="B29" s="2" t="inlineStr"/>
      <c r="C29" s="2" t="inlineStr">
        <is>
          <t>Kamizela 2025 Nature (CML)</t>
        </is>
      </c>
      <c r="D29" s="2" t="inlineStr">
        <is>
          <t>BCR::ABL1</t>
        </is>
      </c>
      <c r="E29" s="3" t="inlineStr"/>
      <c r="F29" s="2" t="inlineStr">
        <is>
          <t>PD57333</t>
        </is>
      </c>
      <c r="G29" s="2" t="inlineStr">
        <is>
          <t>GRCh38</t>
        </is>
      </c>
      <c r="H29" s="2" t="n">
        <v>75</v>
      </c>
      <c r="I29" s="5" t="inlineStr">
        <is>
          <t>not run</t>
        </is>
      </c>
      <c r="J29" s="2" t="inlineStr"/>
      <c r="K29" s="2" t="inlineStr"/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/>
    </row>
    <row r="30">
      <c r="A30" s="2" t="inlineStr">
        <is>
          <t>PD57334</t>
        </is>
      </c>
      <c r="B30" s="2" t="inlineStr"/>
      <c r="C30" s="2" t="inlineStr">
        <is>
          <t>Kamizela 2025 Nature (CML)</t>
        </is>
      </c>
      <c r="D30" s="2" t="inlineStr">
        <is>
          <t>BCR::ABL1</t>
        </is>
      </c>
      <c r="E30" s="3" t="inlineStr"/>
      <c r="F30" s="2" t="inlineStr">
        <is>
          <t>PD57334</t>
        </is>
      </c>
      <c r="G30" s="2" t="inlineStr">
        <is>
          <t>GRCh38</t>
        </is>
      </c>
      <c r="H30" s="2" t="n">
        <v>55</v>
      </c>
      <c r="I30" s="5" t="inlineStr">
        <is>
          <t>not run</t>
        </is>
      </c>
      <c r="J30" s="2" t="inlineStr"/>
      <c r="K30" s="2" t="inlineStr"/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/>
    </row>
    <row r="31">
      <c r="A31" s="2" t="inlineStr">
        <is>
          <t>PD57335</t>
        </is>
      </c>
      <c r="B31" s="2" t="inlineStr"/>
      <c r="C31" s="2" t="inlineStr">
        <is>
          <t>Kamizela 2025 Nature (CML)</t>
        </is>
      </c>
      <c r="D31" s="2" t="inlineStr">
        <is>
          <t>BCR::ABL1</t>
        </is>
      </c>
      <c r="E31" s="3" t="inlineStr"/>
      <c r="F31" s="2" t="inlineStr">
        <is>
          <t>PD57335</t>
        </is>
      </c>
      <c r="G31" s="2" t="inlineStr">
        <is>
          <t>GRCh38</t>
        </is>
      </c>
      <c r="H31" s="2" t="n">
        <v>102</v>
      </c>
      <c r="I31" s="5" t="inlineStr">
        <is>
          <t>not run</t>
        </is>
      </c>
      <c r="J31" s="2" t="inlineStr"/>
      <c r="K31" s="2" t="inlineStr"/>
      <c r="L31" s="5" t="inlineStr">
        <is>
          <t>no</t>
        </is>
      </c>
      <c r="M31" s="2" t="inlineStr"/>
      <c r="N31" s="2" t="inlineStr"/>
      <c r="O31" s="2" t="inlineStr"/>
      <c r="P31" s="2" t="inlineStr"/>
      <c r="Q31" s="2" t="inlineStr"/>
      <c r="R31" s="2" t="inlineStr"/>
      <c r="S31" s="5" t="inlineStr">
        <is>
          <t>no</t>
        </is>
      </c>
      <c r="T31" s="3" t="inlineStr"/>
    </row>
  </sheetData>
  <autoFilter ref="A1:T31"/>
  <dataValidations count="2">
    <dataValidation sqref="I2:I31" showDropDown="0" showInputMessage="0" showErrorMessage="0" allowBlank="1" type="list">
      <formula1>"not run,submitted,running,report incomplete,done,failed"</formula1>
    </dataValidation>
    <dataValidation sqref="S2:S3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2026-10-11 09:17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3</v>
      </c>
      <c r="D4" t="n">
        <v>3</v>
      </c>
      <c r="E4" t="n">
        <v>0</v>
      </c>
    </row>
    <row r="5">
      <c r="A5" t="inlineStr">
        <is>
          <t>BCR::ABL1</t>
        </is>
      </c>
      <c r="B5" t="n">
        <v>9</v>
      </c>
      <c r="C5" t="n">
        <v>2</v>
      </c>
      <c r="D5" t="n">
        <v>2</v>
      </c>
      <c r="E5" t="n">
        <v>0</v>
      </c>
    </row>
    <row r="6">
      <c r="A6" t="inlineStr">
        <is>
          <t>transplant pair (people)</t>
        </is>
      </c>
      <c r="B6" t="n">
        <v>8</v>
      </c>
      <c r="C6" t="n">
        <v>0</v>
      </c>
      <c r="D6" t="n">
        <v>0</v>
      </c>
      <c r="E6" t="n">
        <v>0</v>
      </c>
    </row>
    <row r="7">
      <c r="A7" t="inlineStr">
        <is>
          <t>all</t>
        </is>
      </c>
      <c r="B7" t="n">
        <v>30</v>
      </c>
      <c r="C7" t="n">
        <v>4</v>
      </c>
      <c r="D7" t="n">
        <v>4</v>
      </c>
      <c r="E7" t="n">
        <v>0</v>
      </c>
    </row>
    <row r="9">
      <c r="A9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0">
      <c r="A10" t="inlineStr">
        <is>
          <t>Manual columns (edit here, they survive a rebuild): Farm run, Farm run dir, PEAR-TREE commit, Results dir, Review signed off, Notes.</t>
        </is>
      </c>
    </row>
    <row r="11">
      <c r="A11" t="inlineStr">
        <is>
          <t>Automatic columns (rebuilt from ~/Documents/hsc_results): Colonies, Data local, Somatic rows, Tiers, Excluded, Reviewed (insertion_review verdicts), Review progress.</t>
        </is>
      </c>
    </row>
    <row r="12">
      <c r="A12" t="inlineStr">
        <is>
          <t>A commit starting with '~' was inferred from dates, not recorded by the run; runs submitted after pipeline.sh started stamping PT_COMMIT into run.env show the real one.</t>
        </is>
      </c>
    </row>
    <row r="13">
      <c r="A13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20</v>
      </c>
      <c r="O2" t="inlineStr">
        <is>
          <t>1 / 2 / 17</t>
        </is>
      </c>
      <c r="P2" t="inlineStr"/>
      <c r="Q2" t="n">
        <v>6</v>
      </c>
      <c r="R2" t="inlineStr">
        <is>
          <t>30 %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not run</t>
        </is>
      </c>
      <c r="J3" t="inlineStr"/>
      <c r="K3" t="inlineStr"/>
      <c r="L3" t="inlineStr">
        <is>
          <t>no</t>
        </is>
      </c>
      <c r="M3" t="inlineStr"/>
      <c r="N3" t="inlineStr"/>
      <c r="O3" t="inlineStr"/>
      <c r="P3" t="inlineStr"/>
      <c r="Q3" t="inlineStr"/>
      <c r="R3" t="inlineStr"/>
      <c r="S3" t="inlineStr">
        <is>
          <t>no</t>
        </is>
      </c>
      <c r="T3" t="inlineStr">
        <is>
          <t>old-pipeline results only (~/Documents/retrotransposons_sanger/results/PD47703)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not run</t>
        </is>
      </c>
      <c r="J4" t="inlineStr"/>
      <c r="K4" t="inlineStr"/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not run</t>
        </is>
      </c>
      <c r="J5" t="inlineStr"/>
      <c r="K5" t="inlineStr"/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/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not run</t>
        </is>
      </c>
      <c r="J6" t="inlineStr"/>
      <c r="K6" t="inlineStr"/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/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not run</t>
        </is>
      </c>
      <c r="J7" t="inlineStr"/>
      <c r="K7" t="inlineStr"/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/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not run</t>
        </is>
      </c>
      <c r="J8" t="inlineStr"/>
      <c r="K8" t="inlineStr"/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/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not run</t>
        </is>
      </c>
      <c r="J9" t="inlineStr"/>
      <c r="K9" t="inlineStr"/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/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not run</t>
        </is>
      </c>
      <c r="J10" t="inlineStr"/>
      <c r="K10" t="inlineStr"/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/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not run</t>
        </is>
      </c>
      <c r="J11" t="inlineStr"/>
      <c r="K11" t="inlineStr"/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/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not run</t>
        </is>
      </c>
      <c r="J12" t="inlineStr"/>
      <c r="K12" t="inlineStr"/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/>
    </row>
    <row r="13">
      <c r="A13" t="inlineStr">
        <is>
          <t>PD49229</t>
        </is>
      </c>
      <c r="B13" t="inlineStr">
        <is>
          <t>BCL002 (SCD4)</t>
        </is>
      </c>
      <c r="C13" t="inlineStr">
        <is>
          <t>Spencer Chapman 2023 Nat Med (SCD gene therapy)</t>
        </is>
      </c>
      <c r="D13" t="inlineStr">
        <is>
          <t>TP53 clade</t>
        </is>
      </c>
      <c r="E13" t="inlineStr">
        <is>
          <t>R273H</t>
        </is>
      </c>
      <c r="F13" t="inlineStr">
        <is>
          <t>PD49229</t>
        </is>
      </c>
      <c r="G13" t="inlineStr">
        <is>
          <t>GRCh37</t>
        </is>
      </c>
      <c r="H13" t="n">
        <v>722</v>
      </c>
      <c r="I13" t="inlineStr">
        <is>
          <t>report incomplete</t>
        </is>
      </c>
      <c r="J13" t="inlineStr">
        <is>
          <t>/lustre/scratch126/casm/teams/team273/users/jd43/hsc/PD49229/PD49229</t>
        </is>
      </c>
      <c r="K13" t="inlineStr">
        <is>
          <t>~7d9e241 (inferred, hsc-deploy 2026-10-07); annotate rerun on 59b75b6 (Rust RTE)</t>
        </is>
      </c>
      <c r="L13" t="inlineStr">
        <is>
          <t>partial</t>
        </is>
      </c>
      <c r="M13" t="inlineStr">
        <is>
          <t>PD49229</t>
        </is>
      </c>
      <c r="N13" t="inlineStr"/>
      <c r="O13" t="inlineStr"/>
      <c r="P13" t="inlineStr"/>
      <c r="Q13" t="inlineStr"/>
      <c r="R13" t="inlineStr">
        <is>
          <t>no somatic table</t>
        </is>
      </c>
      <c r="S13" t="inlineStr">
        <is>
          <t>no</t>
        </is>
      </c>
      <c r="T1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14">
      <c r="A14" t="inlineStr">
        <is>
          <t>PD43975</t>
        </is>
      </c>
      <c r="B14" t="inlineStr">
        <is>
          <t>SDS2</t>
        </is>
      </c>
      <c r="C14" t="inlineStr">
        <is>
          <t>Machado 2023 Nat Commun (Shwachman-Diamond)</t>
        </is>
      </c>
      <c r="D14" t="inlineStr">
        <is>
          <t>TP53 clade</t>
        </is>
      </c>
      <c r="E14" t="inlineStr">
        <is>
          <t>C141Y</t>
        </is>
      </c>
      <c r="F14" t="inlineStr">
        <is>
          <t>PD43975</t>
        </is>
      </c>
      <c r="G14" t="inlineStr">
        <is>
          <t>GRCh37</t>
        </is>
      </c>
      <c r="H14" t="n">
        <v>38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tree added 2026-10-10 (zeros outgroup dropped); colonies.tsv populated 2026-10-10 (iRODS, all tips)</t>
        </is>
      </c>
    </row>
    <row r="15">
      <c r="A15" t="inlineStr">
        <is>
          <t>PD43293</t>
        </is>
      </c>
      <c r="B15" t="inlineStr">
        <is>
          <t>SDS4</t>
        </is>
      </c>
      <c r="C15" t="inlineStr">
        <is>
          <t>Machado 2023 Nat Commun (Shwachman-Diamond)</t>
        </is>
      </c>
      <c r="D15" t="inlineStr">
        <is>
          <t>TP53 clade</t>
        </is>
      </c>
      <c r="E15" t="inlineStr">
        <is>
          <t>R273L</t>
        </is>
      </c>
      <c r="F15" t="inlineStr">
        <is>
          <t>PD43293</t>
        </is>
      </c>
      <c r="G15" t="inlineStr">
        <is>
          <t>GRCh37</t>
        </is>
      </c>
      <c r="H15" t="n">
        <v>18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tree added 2026-10-10 (zeros outgroup dropped); colonies.tsv populated 2026-10-10 (iRODS, all tips)</t>
        </is>
      </c>
    </row>
    <row r="16">
      <c r="A16" t="inlineStr">
        <is>
          <t>PD42190</t>
        </is>
      </c>
      <c r="B16" t="inlineStr">
        <is>
          <t>SDS5 (timepoint 1)</t>
        </is>
      </c>
      <c r="C16" t="inlineStr">
        <is>
          <t>Machado 2023 Nat Commun (Shwachman-Diamond)</t>
        </is>
      </c>
      <c r="D16" t="inlineStr">
        <is>
          <t>TP53 clade</t>
        </is>
      </c>
      <c r="E16" t="inlineStr">
        <is>
          <t>R248W (3), A159V (2), P151S (2) + 5 single</t>
        </is>
      </c>
      <c r="F16" t="inlineStr">
        <is>
          <t>SDS5_PD42190_PD45888</t>
        </is>
      </c>
      <c r="G16" t="inlineStr">
        <is>
          <t>GRCh37</t>
        </is>
      </c>
      <c r="H16" t="n">
        <v>48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one tree with PD45888; colonies.tsv populated 2026-10-10 (100/100)</t>
        </is>
      </c>
    </row>
    <row r="17">
      <c r="A17" t="inlineStr">
        <is>
          <t>PD45888</t>
        </is>
      </c>
      <c r="B17" t="inlineStr">
        <is>
          <t>SDS5 (timepoint 2)</t>
        </is>
      </c>
      <c r="C17" t="inlineStr">
        <is>
          <t>Machado 2023 Nat Commun (Shwachman-Diamond)</t>
        </is>
      </c>
      <c r="D17" t="inlineStr">
        <is>
          <t>TP53 clade</t>
        </is>
      </c>
      <c r="E17" t="inlineStr">
        <is>
          <t>(shared SDS5 tree)</t>
        </is>
      </c>
      <c r="F17" t="inlineStr">
        <is>
          <t>SDS5_PD42190_PD45888</t>
        </is>
      </c>
      <c r="G17" t="inlineStr">
        <is>
          <t>GRCh37</t>
        </is>
      </c>
      <c r="H17" t="n">
        <v>52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one tree with PD42190; colonies.tsv populated 2026-10-10 (100/100)</t>
        </is>
      </c>
    </row>
    <row r="18">
      <c r="A18" t="inlineStr">
        <is>
          <t>PD45887</t>
        </is>
      </c>
      <c r="B18" t="inlineStr">
        <is>
          <t>SDS6</t>
        </is>
      </c>
      <c r="C18" t="inlineStr">
        <is>
          <t>Machado 2023 Nat Commun (Shwachman-Diamond)</t>
        </is>
      </c>
      <c r="D18" t="inlineStr">
        <is>
          <t>TP53 clade</t>
        </is>
      </c>
      <c r="E18" t="inlineStr">
        <is>
          <t>E258K, G245S, I195F, R175H, V157F</t>
        </is>
      </c>
      <c r="F18" t="inlineStr">
        <is>
          <t>PD45887</t>
        </is>
      </c>
      <c r="G18" t="inlineStr">
        <is>
          <t>GRCh37</t>
        </is>
      </c>
      <c r="H18" t="n">
        <v>27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tree added 2026-10-10 (zeros outgroup dropped); colonies.tsv populated 2026-10-10 (iRODS, all tips)</t>
        </is>
      </c>
    </row>
    <row r="19">
      <c r="A19" t="inlineStr">
        <is>
          <t>PD44706</t>
        </is>
      </c>
      <c r="B19" t="inlineStr">
        <is>
          <t>SDS7</t>
        </is>
      </c>
      <c r="C19" t="inlineStr">
        <is>
          <t>Machado 2023 Nat Commun (Shwachman-Diamond)</t>
        </is>
      </c>
      <c r="D19" t="inlineStr">
        <is>
          <t>TP53 clade</t>
        </is>
      </c>
      <c r="E19" t="inlineStr">
        <is>
          <t>C275Y, V272M, G245S, Y205F, H179Q, V173M</t>
        </is>
      </c>
      <c r="F19" t="inlineStr">
        <is>
          <t>PD44706</t>
        </is>
      </c>
      <c r="G19" t="inlineStr">
        <is>
          <t>GRCh37</t>
        </is>
      </c>
      <c r="H19" t="n">
        <v>35</v>
      </c>
      <c r="I19" t="inlineStr">
        <is>
          <t>not run</t>
        </is>
      </c>
      <c r="J19" t="inlineStr"/>
      <c r="K19" t="inlineStr"/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tree added 2026-10-10 (zeros outgroup dropped); colonies.tsv populated 2026-10-10 (iRODS, all tips)</t>
        </is>
      </c>
    </row>
    <row r="20">
      <c r="A20" t="inlineStr">
        <is>
          <t>PD42191</t>
        </is>
      </c>
      <c r="B20" t="inlineStr">
        <is>
          <t>SDS8</t>
        </is>
      </c>
      <c r="C20" t="inlineStr">
        <is>
          <t>Machado 2023 Nat Commun (Shwachman-Diamond)</t>
        </is>
      </c>
      <c r="D20" t="inlineStr">
        <is>
          <t>TP53 clade</t>
        </is>
      </c>
      <c r="E20" t="inlineStr">
        <is>
          <t>I254F+R248Q biallelic trunk (all 10 col)</t>
        </is>
      </c>
      <c r="F20" t="inlineStr">
        <is>
          <t>PD42191</t>
        </is>
      </c>
      <c r="G20" t="inlineStr">
        <is>
          <t>GRCh37</t>
        </is>
      </c>
      <c r="H20" t="n">
        <v>10</v>
      </c>
      <c r="I20" t="inlineStr">
        <is>
          <t>not run</t>
        </is>
      </c>
      <c r="J20" t="inlineStr"/>
      <c r="K20" t="inlineStr"/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tree added 2026-10-10 (zeros outgroup dropped); colonies.tsv populated 2026-10-10 (iRODS, all tips)</t>
        </is>
      </c>
    </row>
    <row r="21">
      <c r="A21" t="inlineStr">
        <is>
          <t>PD45886</t>
        </is>
      </c>
      <c r="B21" t="inlineStr">
        <is>
          <t>SDS10</t>
        </is>
      </c>
      <c r="C21" t="inlineStr">
        <is>
          <t>Machado 2023 Nat Commun (Shwachman-Diamond)</t>
        </is>
      </c>
      <c r="D21" t="inlineStr">
        <is>
          <t>TP53 clade</t>
        </is>
      </c>
      <c r="E21" t="inlineStr">
        <is>
          <t>H179Q (3)</t>
        </is>
      </c>
      <c r="F21" t="inlineStr">
        <is>
          <t>PD45886</t>
        </is>
      </c>
      <c r="G21" t="inlineStr">
        <is>
          <t>GRCh37</t>
        </is>
      </c>
      <c r="H21" t="n">
        <v>27</v>
      </c>
      <c r="I21" t="inlineStr">
        <is>
          <t>done</t>
        </is>
      </c>
      <c r="J21" t="inlineStr">
        <is>
          <t>/lustre/scratch126/casm/teams/team273/users/jd43/hsc_foldback2/PD45886/PD45886</t>
        </is>
      </c>
      <c r="K21" t="inlineStr">
        <is>
          <t>59f51a9 (combine fold-back strand fix; discovery reused from hsc_foldback ~5ed4f32); first run ~59b75b6</t>
        </is>
      </c>
      <c r="L21" t="inlineStr">
        <is>
          <t>yes</t>
        </is>
      </c>
      <c r="M21" t="inlineStr">
        <is>
          <t>PD45886_foldback2/PD45886</t>
        </is>
      </c>
      <c r="N21" t="n">
        <v>73</v>
      </c>
      <c r="O21" t="inlineStr">
        <is>
          <t>7 / 10 / 56</t>
        </is>
      </c>
      <c r="P21" t="n">
        <v>43</v>
      </c>
      <c r="Q21" t="n">
        <v>37</v>
      </c>
      <c r="R21" t="inlineStr">
        <is>
          <t>50 %</t>
        </is>
      </c>
      <c r="S21" t="inlineStr">
        <is>
          <t>no</t>
        </is>
      </c>
      <c r="T21" t="inlineStr">
        <is>
          <t>27 colonies, proj 2045; 73 private calls (B 7, C 10), 2570 germline MEIs; first run (489 = cruciform artefacts) in ~/Documents/hsc_results/PD45886; hsc_foldback lost 217 germline (strand bug)</t>
        </is>
      </c>
    </row>
    <row r="22">
      <c r="A22" t="inlineStr">
        <is>
          <t>PD54832</t>
        </is>
      </c>
      <c r="B22" t="inlineStr"/>
      <c r="C22" t="inlineStr">
        <is>
          <t>Leongamornlert 2026 Cancer Discov (TN-ET)</t>
        </is>
      </c>
      <c r="D22" t="inlineStr">
        <is>
          <t>TP53 clade</t>
        </is>
      </c>
      <c r="E22" t="inlineStr">
        <is>
          <t>S215N</t>
        </is>
      </c>
      <c r="F22" t="inlineStr">
        <is>
          <t>PD54832</t>
        </is>
      </c>
      <c r="G22" t="inlineStr">
        <is>
          <t>GRCh37</t>
        </is>
      </c>
      <c r="H22" t="n">
        <v>49</v>
      </c>
      <c r="I22" t="inlineStr">
        <is>
          <t>not run</t>
        </is>
      </c>
      <c r="J22" t="inlineStr"/>
      <c r="K22" t="inlineStr"/>
      <c r="L22" t="inlineStr">
        <is>
          <t>no</t>
        </is>
      </c>
      <c r="M22" t="inlineStr"/>
      <c r="N22" t="inlineStr"/>
      <c r="O22" t="inlineStr"/>
      <c r="P22" t="inlineStr"/>
      <c r="Q22" t="inlineStr"/>
      <c r="R22" t="inlineStr"/>
      <c r="S22" t="inlineStr">
        <is>
          <t>no</t>
        </is>
      </c>
      <c r="T22" t="inlineStr">
        <is>
          <t>tree added 2026-10-10 (zeros outgroup dropped); colonies.tsv populated 2026-10-10 (iRODS, all tips); tips renamed lo00NN -&gt; PD54832b_lo00NN; tissue folder (peripheral_blood) not verified</t>
        </is>
      </c>
    </row>
    <row r="23">
      <c r="A23" t="inlineStr">
        <is>
          <t>PD51635</t>
        </is>
      </c>
      <c r="B23" t="inlineStr"/>
      <c r="C23" t="inlineStr">
        <is>
          <t>Kamizela 2025 Nature (CML)</t>
        </is>
      </c>
      <c r="D23" t="inlineStr">
        <is>
          <t>TP53 clade; BCR::ABL1</t>
        </is>
      </c>
      <c r="E23" t="inlineStr">
        <is>
          <t>L130F (BCR::ABL1-negative colony)</t>
        </is>
      </c>
      <c r="F23" t="inlineStr">
        <is>
          <t>PD51635</t>
        </is>
      </c>
      <c r="G23" t="inlineStr">
        <is>
          <t>GRCh38</t>
        </is>
      </c>
      <c r="H23" t="n">
        <v>117</v>
      </c>
      <c r="I23" t="inlineStr">
        <is>
          <t>done</t>
        </is>
      </c>
      <c r="J23" t="inlineStr">
        <is>
          <t>/lustre/scratch126/casm/teams/team273/users/jd43/hsc/PD51635/PD51635</t>
        </is>
      </c>
      <c r="K23" t="inlineStr">
        <is>
          <t>~42d6e74 (inferred, hsc-deploy 2026-10-06); report 700ecf8</t>
        </is>
      </c>
      <c r="L23" t="inlineStr">
        <is>
          <t>yes</t>
        </is>
      </c>
      <c r="M23" t="inlineStr">
        <is>
          <t>PD51635</t>
        </is>
      </c>
      <c r="N23" t="n">
        <v>102</v>
      </c>
      <c r="O23" t="inlineStr">
        <is>
          <t>10 / 15 / 77</t>
        </is>
      </c>
      <c r="P23" t="inlineStr"/>
      <c r="Q23" t="n">
        <v>30</v>
      </c>
      <c r="R23" t="inlineStr">
        <is>
          <t>29 %</t>
        </is>
      </c>
      <c r="S23" t="inlineStr">
        <is>
          <t>no</t>
        </is>
      </c>
      <c r="T23" t="inlineStr">
        <is>
          <t>first HSC patient; review export in ~/Documents/hsc_results/PD51635/review_export</t>
        </is>
      </c>
    </row>
    <row r="24">
      <c r="A24" t="inlineStr">
        <is>
          <t>PD51632</t>
        </is>
      </c>
      <c r="B24" t="inlineStr"/>
      <c r="C24" t="inlineStr">
        <is>
          <t>Kamizela 2025 Nature (CML)</t>
        </is>
      </c>
      <c r="D24" t="inlineStr">
        <is>
          <t>BCR::ABL1</t>
        </is>
      </c>
      <c r="E24" t="inlineStr"/>
      <c r="F24" t="inlineStr">
        <is>
          <t>PD51632</t>
        </is>
      </c>
      <c r="G24" t="inlineStr">
        <is>
          <t>GRCh38</t>
        </is>
      </c>
      <c r="H24" t="n">
        <v>83</v>
      </c>
      <c r="I24" t="inlineStr">
        <is>
          <t>not run</t>
        </is>
      </c>
      <c r="J24" t="inlineStr"/>
      <c r="K24" t="inlineStr"/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/>
    </row>
    <row r="25">
      <c r="A25" t="inlineStr">
        <is>
          <t>PD51633</t>
        </is>
      </c>
      <c r="B25" t="inlineStr"/>
      <c r="C25" t="inlineStr">
        <is>
          <t>Kamizela 2025 Nature (CML)</t>
        </is>
      </c>
      <c r="D25" t="inlineStr">
        <is>
          <t>BCR::ABL1</t>
        </is>
      </c>
      <c r="E25" t="inlineStr"/>
      <c r="F25" t="inlineStr">
        <is>
          <t>PD51633</t>
        </is>
      </c>
      <c r="G25" t="inlineStr">
        <is>
          <t>GRCh38</t>
        </is>
      </c>
      <c r="H25" t="n">
        <v>81</v>
      </c>
      <c r="I25" t="inlineStr">
        <is>
          <t>not run</t>
        </is>
      </c>
      <c r="J25" t="inlineStr"/>
      <c r="K25" t="inlineStr"/>
      <c r="L25" t="inlineStr">
        <is>
          <t>no</t>
        </is>
      </c>
      <c r="M25" t="inlineStr"/>
      <c r="N25" t="inlineStr"/>
      <c r="O25" t="inlineStr"/>
      <c r="P25" t="inlineStr"/>
      <c r="Q25" t="inlineStr"/>
      <c r="R25" t="inlineStr"/>
      <c r="S25" t="inlineStr">
        <is>
          <t>no</t>
        </is>
      </c>
      <c r="T25" t="inlineStr"/>
    </row>
    <row r="26">
      <c r="A26" t="inlineStr">
        <is>
          <t>PD51634</t>
        </is>
      </c>
      <c r="B26" t="inlineStr"/>
      <c r="C26" t="inlineStr">
        <is>
          <t>Kamizela 2025 Nature (CML)</t>
        </is>
      </c>
      <c r="D26" t="inlineStr">
        <is>
          <t>BCR::ABL1</t>
        </is>
      </c>
      <c r="E26" t="inlineStr"/>
      <c r="F26" t="inlineStr">
        <is>
          <t>PD51634</t>
        </is>
      </c>
      <c r="G26" t="inlineStr">
        <is>
          <t>GRCh38</t>
        </is>
      </c>
      <c r="H26" t="n">
        <v>117</v>
      </c>
      <c r="I26" t="inlineStr">
        <is>
          <t>running</t>
        </is>
      </c>
      <c r="J26" t="inlineStr">
        <is>
          <t>/lustre/scratch126/casm/teams/team273/users/jd43/hsc_foldback2/PD51634/PD51634</t>
        </is>
      </c>
      <c r="K26" t="inlineStr">
        <is>
          <t>c72e5a6 (dense-filter removal + supp-twin exclusion in)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submitted 2026-10-11 08:16, LSF jobs 915507-915515, results -&gt; /nfs/users/nfs_j/jd43/results/hsc_foldback2/PD51634; 117/123 tips have a BAM: PD51634b (bulk?) and ch_lo0003/0007/0013/0026/0030 missing from the iRODS populate, run without them</t>
        </is>
      </c>
    </row>
    <row r="27">
      <c r="A27" t="inlineStr">
        <is>
          <t>PD56961</t>
        </is>
      </c>
      <c r="B27" t="inlineStr"/>
      <c r="C27" t="inlineStr">
        <is>
          <t>Kamizela 2025 Nature (CML)</t>
        </is>
      </c>
      <c r="D27" t="inlineStr">
        <is>
          <t>BCR::ABL1</t>
        </is>
      </c>
      <c r="E27" t="inlineStr"/>
      <c r="F27" t="inlineStr">
        <is>
          <t>PD56961</t>
        </is>
      </c>
      <c r="G27" t="inlineStr">
        <is>
          <t>GRCh38</t>
        </is>
      </c>
      <c r="H27" t="n">
        <v>163</v>
      </c>
      <c r="I27" t="inlineStr">
        <is>
          <t>done</t>
        </is>
      </c>
      <c r="J27" t="inlineStr">
        <is>
          <t>/lustre/scratch126/casm/teams/team273/users/jd43/hsc_foldback2/PD56961/PD56961</t>
        </is>
      </c>
      <c r="K27" t="inlineStr">
        <is>
          <t>3bb7d22 (fold-back strand fix in; predates fa616a2 supp-twin exclusion + 9626905 dense-filter removal)</t>
        </is>
      </c>
      <c r="L27" t="inlineStr">
        <is>
          <t>yes</t>
        </is>
      </c>
      <c r="M27" t="inlineStr">
        <is>
          <t>PD56961</t>
        </is>
      </c>
      <c r="N27" t="n">
        <v>20</v>
      </c>
      <c r="O27" t="inlineStr">
        <is>
          <t>5 / 3 / 12</t>
        </is>
      </c>
      <c r="P27" t="n">
        <v>32</v>
      </c>
      <c r="Q27" t="n">
        <v>0</v>
      </c>
      <c r="R27" t="inlineStr">
        <is>
          <t>not started</t>
        </is>
      </c>
      <c r="S27" t="inlineStr">
        <is>
          <t>no</t>
        </is>
      </c>
      <c r="T2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28">
      <c r="A28" t="inlineStr">
        <is>
          <t>PD57332</t>
        </is>
      </c>
      <c r="B28" t="inlineStr"/>
      <c r="C28" t="inlineStr">
        <is>
          <t>Kamizela 2025 Nature (CML)</t>
        </is>
      </c>
      <c r="D28" t="inlineStr">
        <is>
          <t>BCR::ABL1</t>
        </is>
      </c>
      <c r="E28" t="inlineStr"/>
      <c r="F28" t="inlineStr">
        <is>
          <t>PD57332</t>
        </is>
      </c>
      <c r="G28" t="inlineStr">
        <is>
          <t>GRCh38</t>
        </is>
      </c>
      <c r="H28" t="n">
        <v>35</v>
      </c>
      <c r="I28" t="inlineStr">
        <is>
          <t>not run</t>
        </is>
      </c>
      <c r="J28" t="inlineStr"/>
      <c r="K28" t="inlineStr"/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/>
    </row>
    <row r="29">
      <c r="A29" t="inlineStr">
        <is>
          <t>PD57333</t>
        </is>
      </c>
      <c r="B29" t="inlineStr"/>
      <c r="C29" t="inlineStr">
        <is>
          <t>Kamizela 2025 Nature (CML)</t>
        </is>
      </c>
      <c r="D29" t="inlineStr">
        <is>
          <t>BCR::ABL1</t>
        </is>
      </c>
      <c r="E29" t="inlineStr"/>
      <c r="F29" t="inlineStr">
        <is>
          <t>PD57333</t>
        </is>
      </c>
      <c r="G29" t="inlineStr">
        <is>
          <t>GRCh38</t>
        </is>
      </c>
      <c r="H29" t="n">
        <v>75</v>
      </c>
      <c r="I29" t="inlineStr">
        <is>
          <t>not run</t>
        </is>
      </c>
      <c r="J29" t="inlineStr"/>
      <c r="K29" t="inlineStr"/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/>
    </row>
    <row r="30">
      <c r="A30" t="inlineStr">
        <is>
          <t>PD57334</t>
        </is>
      </c>
      <c r="B30" t="inlineStr"/>
      <c r="C30" t="inlineStr">
        <is>
          <t>Kamizela 2025 Nature (CML)</t>
        </is>
      </c>
      <c r="D30" t="inlineStr">
        <is>
          <t>BCR::ABL1</t>
        </is>
      </c>
      <c r="E30" t="inlineStr"/>
      <c r="F30" t="inlineStr">
        <is>
          <t>PD57334</t>
        </is>
      </c>
      <c r="G30" t="inlineStr">
        <is>
          <t>GRCh38</t>
        </is>
      </c>
      <c r="H30" t="n">
        <v>55</v>
      </c>
      <c r="I30" t="inlineStr">
        <is>
          <t>not run</t>
        </is>
      </c>
      <c r="J30" t="inlineStr"/>
      <c r="K30" t="inlineStr"/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/>
    </row>
    <row r="31">
      <c r="A31" t="inlineStr">
        <is>
          <t>PD57335</t>
        </is>
      </c>
      <c r="B31" t="inlineStr"/>
      <c r="C31" t="inlineStr">
        <is>
          <t>Kamizela 2025 Nature (CML)</t>
        </is>
      </c>
      <c r="D31" t="inlineStr">
        <is>
          <t>BCR::ABL1</t>
        </is>
      </c>
      <c r="E31" t="inlineStr"/>
      <c r="F31" t="inlineStr">
        <is>
          <t>PD57335</t>
        </is>
      </c>
      <c r="G31" t="inlineStr">
        <is>
          <t>GRCh38</t>
        </is>
      </c>
      <c r="H31" t="n">
        <v>102</v>
      </c>
      <c r="I31" t="inlineStr">
        <is>
          <t>not run</t>
        </is>
      </c>
      <c r="J31" t="inlineStr"/>
      <c r="K31" t="inlineStr"/>
      <c r="L31" t="inlineStr">
        <is>
          <t>no</t>
        </is>
      </c>
      <c r="M31" t="inlineStr"/>
      <c r="N31" t="inlineStr"/>
      <c r="O31" t="inlineStr"/>
      <c r="P31" t="inlineStr"/>
      <c r="Q31" t="inlineStr"/>
      <c r="R31" t="inlineStr"/>
      <c r="S31" t="inlineStr">
        <is>
          <t>no</t>
        </is>
      </c>
      <c r="T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2026-10-11T07:17:45Z</dcterms:created>
  <dcterms:modified xmlns:dcterms="http://purl.org/dc/terms/" xmlns:xsi="http://www.w3.org/2001/XMLSchema-instance" xsi:type="dcterms:W3CDTF">2026-10-11T07:17:45Z</dcterms:modified>
</cp:coreProperties>
</file>